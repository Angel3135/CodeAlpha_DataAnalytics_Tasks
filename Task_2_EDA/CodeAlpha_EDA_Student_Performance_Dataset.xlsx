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GEL YADAV\Downloads\"/>
    </mc:Choice>
  </mc:AlternateContent>
  <xr:revisionPtr revIDLastSave="0" documentId="13_ncr:1_{2FA48A60-281E-40ED-AE78-BB3F967E40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Analysis" sheetId="4" r:id="rId2"/>
    <sheet name="Data_Dictionary" sheetId="2" r:id="rId3"/>
  </sheets>
  <definedNames>
    <definedName name="_xlnm._FilterDatabase" localSheetId="2" hidden="1">Data_Dictionary!$A$1:$D$10</definedName>
    <definedName name="_xlnm._FilterDatabase" localSheetId="0" hidden="1">Raw_Data!$A$1:$K$101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4" l="1"/>
  <c r="B48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B21" i="4"/>
  <c r="B17" i="4"/>
  <c r="B9" i="4"/>
  <c r="B8" i="4"/>
  <c r="B3" i="4"/>
  <c r="B4" i="4"/>
  <c r="B5" i="4"/>
  <c r="D5" i="4"/>
  <c r="C5" i="4"/>
  <c r="D4" i="4"/>
  <c r="C4" i="4"/>
  <c r="D3" i="4"/>
  <c r="C3" i="4"/>
  <c r="B27" i="4" l="1"/>
  <c r="B28" i="4"/>
  <c r="B26" i="4"/>
</calcChain>
</file>

<file path=xl/sharedStrings.xml><?xml version="1.0" encoding="utf-8"?>
<sst xmlns="http://schemas.openxmlformats.org/spreadsheetml/2006/main" count="507" uniqueCount="221">
  <si>
    <t>Student_ID</t>
  </si>
  <si>
    <t>Student_Name</t>
  </si>
  <si>
    <t>Gender</t>
  </si>
  <si>
    <t>Class_Section</t>
  </si>
  <si>
    <t>Maths_Marks</t>
  </si>
  <si>
    <t>Science_Marks</t>
  </si>
  <si>
    <t>English_Marks</t>
  </si>
  <si>
    <t>Attendance_Percent</t>
  </si>
  <si>
    <t>Study_Hours_Per_Day</t>
  </si>
  <si>
    <t>STU001</t>
  </si>
  <si>
    <t>Aarav Sharma</t>
  </si>
  <si>
    <t>Female</t>
  </si>
  <si>
    <t>BCA-C</t>
  </si>
  <si>
    <t>STU002</t>
  </si>
  <si>
    <t>Ananya Verma</t>
  </si>
  <si>
    <t>Male</t>
  </si>
  <si>
    <t>STU003</t>
  </si>
  <si>
    <t>Rohan Gupta</t>
  </si>
  <si>
    <t>BCA-B</t>
  </si>
  <si>
    <t>STU004</t>
  </si>
  <si>
    <t>Priya Singh</t>
  </si>
  <si>
    <t>STU005</t>
  </si>
  <si>
    <t>Kabir Yadav</t>
  </si>
  <si>
    <t>BCA-A</t>
  </si>
  <si>
    <t>STU006</t>
  </si>
  <si>
    <t>Meera Mishra</t>
  </si>
  <si>
    <t>STU007</t>
  </si>
  <si>
    <t>Arjun Patel</t>
  </si>
  <si>
    <t>STU008</t>
  </si>
  <si>
    <t>Isha Khan</t>
  </si>
  <si>
    <t>STU009</t>
  </si>
  <si>
    <t>Vivaan Joshi</t>
  </si>
  <si>
    <t>STU010</t>
  </si>
  <si>
    <t>Sana Ali</t>
  </si>
  <si>
    <t>STU011</t>
  </si>
  <si>
    <t>Aditya Tiwari</t>
  </si>
  <si>
    <t>STU012</t>
  </si>
  <si>
    <t>Kavya Rao</t>
  </si>
  <si>
    <t>STU013</t>
  </si>
  <si>
    <t>Reyansh Das</t>
  </si>
  <si>
    <t>STU014</t>
  </si>
  <si>
    <t>Nisha Kapoor</t>
  </si>
  <si>
    <t>STU015</t>
  </si>
  <si>
    <t>Ayaan Malik</t>
  </si>
  <si>
    <t>STU016</t>
  </si>
  <si>
    <t>Diya Saxena</t>
  </si>
  <si>
    <t>STU017</t>
  </si>
  <si>
    <t>Krishna Pandey</t>
  </si>
  <si>
    <t>STU018</t>
  </si>
  <si>
    <t>Aditi Chauhan</t>
  </si>
  <si>
    <t>STU019</t>
  </si>
  <si>
    <t>Ishaan Jain</t>
  </si>
  <si>
    <t>STU020</t>
  </si>
  <si>
    <t>Pooja Sahu</t>
  </si>
  <si>
    <t>STU021</t>
  </si>
  <si>
    <t>Dev Agarwal</t>
  </si>
  <si>
    <t>STU022</t>
  </si>
  <si>
    <t>Riya Thakur</t>
  </si>
  <si>
    <t>STU023</t>
  </si>
  <si>
    <t>Manav Shukla</t>
  </si>
  <si>
    <t>STU024</t>
  </si>
  <si>
    <t>Simran Kaur</t>
  </si>
  <si>
    <t>STU025</t>
  </si>
  <si>
    <t>Yash Tripathi</t>
  </si>
  <si>
    <t>STU026</t>
  </si>
  <si>
    <t>Tanya Bansal</t>
  </si>
  <si>
    <t>STU027</t>
  </si>
  <si>
    <t>Dhruv Mehta</t>
  </si>
  <si>
    <t>STU028</t>
  </si>
  <si>
    <t>Neha Srivastava</t>
  </si>
  <si>
    <t>STU029</t>
  </si>
  <si>
    <t>Om Prakash</t>
  </si>
  <si>
    <t>STU030</t>
  </si>
  <si>
    <t>Anika Roy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</si>
  <si>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</si>
  <si>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</si>
  <si>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</si>
  <si>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</si>
  <si>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</si>
  <si>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</si>
  <si>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</si>
  <si>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</si>
  <si>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</si>
  <si>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</si>
  <si>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</si>
  <si>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</si>
  <si>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 xml:space="preserve"> Kavya Rao 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</si>
  <si>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</si>
  <si>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</si>
  <si>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</si>
  <si>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</si>
  <si>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</si>
  <si>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</si>
  <si>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</si>
  <si>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</si>
  <si>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</si>
  <si>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</si>
  <si>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</si>
  <si>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</si>
  <si>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</si>
  <si>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</si>
  <si>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</si>
  <si>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</si>
  <si>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</si>
  <si>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</si>
  <si>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</si>
  <si>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</si>
  <si>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</si>
  <si>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</si>
  <si>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</si>
  <si>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</si>
  <si>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</si>
  <si>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</si>
  <si>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</si>
  <si>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</si>
  <si>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</si>
  <si>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</si>
  <si>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</si>
  <si>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</si>
  <si>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</si>
  <si>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</si>
  <si>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</si>
  <si>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</si>
  <si>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</si>
  <si>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</si>
  <si>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</si>
  <si>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</si>
  <si>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</si>
  <si>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</si>
  <si>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</si>
  <si>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</si>
  <si>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</si>
  <si>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</si>
  <si>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</si>
  <si>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</si>
  <si>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</si>
  <si>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</si>
  <si>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</si>
  <si>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</si>
  <si>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</si>
  <si>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</si>
  <si>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</si>
  <si>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</si>
  <si>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</si>
  <si>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</si>
  <si>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Column_Name</t>
  </si>
  <si>
    <t>Meaning</t>
  </si>
  <si>
    <t>Data_Type</t>
  </si>
  <si>
    <t>Notes</t>
  </si>
  <si>
    <t>Unique student identifier</t>
  </si>
  <si>
    <t>Text</t>
  </si>
  <si>
    <t>STU001, STU002, ...</t>
  </si>
  <si>
    <t>Student's display name</t>
  </si>
  <si>
    <t>Names; inspect extra spaces/duplicates</t>
  </si>
  <si>
    <t>Reported gender category</t>
  </si>
  <si>
    <t>Category</t>
  </si>
  <si>
    <t>Female / Male</t>
  </si>
  <si>
    <t>Student's class section</t>
  </si>
  <si>
    <t>BCA-A / BCA-B / BCA-C</t>
  </si>
  <si>
    <t>Marks in Maths out of 100</t>
  </si>
  <si>
    <t>Numeric</t>
  </si>
  <si>
    <t>25–100; contains a missing value</t>
  </si>
  <si>
    <t>Marks in Science out of 100</t>
  </si>
  <si>
    <t>Marks in English out of 100</t>
  </si>
  <si>
    <t>Attendance percentage</t>
  </si>
  <si>
    <t>52–100; contains a missing value</t>
  </si>
  <si>
    <t>Average daily study hours</t>
  </si>
  <si>
    <t>0.5–6.5 hours</t>
  </si>
  <si>
    <t>student performance analysis</t>
  </si>
  <si>
    <t>metric</t>
  </si>
  <si>
    <t>Average</t>
  </si>
  <si>
    <t>Highest Marks</t>
  </si>
  <si>
    <t>Lowest Marks</t>
  </si>
  <si>
    <t>Other Performance Metrics</t>
  </si>
  <si>
    <t>Average Attendance</t>
  </si>
  <si>
    <t>Average Study Hours</t>
  </si>
  <si>
    <t>Key Findings</t>
  </si>
  <si>
    <t>Average Attendance is 82%</t>
  </si>
  <si>
    <t>Average daily study time is approximately 2.65 hours</t>
  </si>
  <si>
    <t>Subject-wise average marks are shown in the chart</t>
  </si>
  <si>
    <t>Attendance vs Maths Analysis</t>
  </si>
  <si>
    <t>Correilation</t>
  </si>
  <si>
    <t>Interpretation</t>
  </si>
  <si>
    <t>Attendance and Maths marks show almost no inear correlation in this dataset</t>
  </si>
  <si>
    <t>Study Hours vs Maths Analysis</t>
  </si>
  <si>
    <t>Correlation</t>
  </si>
  <si>
    <t>Study hours and Maths marks show a positive correlation in this dataset</t>
  </si>
  <si>
    <t>Performance_Category</t>
  </si>
  <si>
    <t>Performance Summary</t>
  </si>
  <si>
    <t>Student Count</t>
  </si>
  <si>
    <t>High</t>
  </si>
  <si>
    <t>Medium</t>
  </si>
  <si>
    <t>Low</t>
  </si>
  <si>
    <t>Final Insights</t>
  </si>
  <si>
    <t>Total students analyzed :100</t>
  </si>
  <si>
    <t>Average attendance:82%</t>
  </si>
  <si>
    <t>Average daily study time: 2.65 hours</t>
  </si>
  <si>
    <t>High performancce: 34students</t>
  </si>
  <si>
    <t>Medium performance: 59 students</t>
  </si>
  <si>
    <t>Low performance: 7 students</t>
  </si>
  <si>
    <t>Study hours and maths marks show a positive correlation</t>
  </si>
  <si>
    <t>Research Questions</t>
  </si>
  <si>
    <t>Which subject has the highest average marks?</t>
  </si>
  <si>
    <t>Is study time associated with maths marks?</t>
  </si>
  <si>
    <t>Is attendance associated with maths marks?</t>
  </si>
  <si>
    <t>Compare maths,scienceand englishh average marks</t>
  </si>
  <si>
    <t>Correlation is approximately 0.355,indicating a positivve elationship</t>
  </si>
  <si>
    <t>Correlation is apprimately -0.011,indicating almost no linear relationship</t>
  </si>
  <si>
    <t>How are students distributed across performance categories?</t>
  </si>
  <si>
    <t>High: 34, Medium: 59, Low: 7</t>
  </si>
  <si>
    <t>Hypothesis Testing</t>
  </si>
  <si>
    <t>Null Hypothesis</t>
  </si>
  <si>
    <t>Study hours have no significant linear relationship with maths marks</t>
  </si>
  <si>
    <t>Alternative Hypothesis</t>
  </si>
  <si>
    <t>Study hours have a significant linear relationship with maths marks</t>
  </si>
  <si>
    <t>t-statistic</t>
  </si>
  <si>
    <t>p-value(two- tailed)</t>
  </si>
  <si>
    <t>Conclusion(5%Significance Level)</t>
  </si>
  <si>
    <t>Reject h0 : Study hours and Maths marks have a statistically significant positive relationship.</t>
  </si>
  <si>
    <t>Data Quality Issues</t>
  </si>
  <si>
    <t>Some gender entries may be inconsistent with the associated names. Actual gender could not be independently verified, so the original values were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</si>
</sst>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2" fillId="3" borderId="1" xfId="0" applyFont="1" applyFill="1" applyBorder="1"/>
    <xf numFmtId="0" fontId="0" fillId="0" borderId="1" xfId="0" applyBorder="1"/>
    <xf numFmtId="1" fontId="0" fillId="0" borderId="1" xfId="0" applyNumberFormat="1" applyBorder="1"/>
    <xf numFmtId="0" fontId="0" fillId="0" borderId="0" xfId="0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2" fillId="4" borderId="0" xfId="0" applyFont="1" applyFill="1"/>
    <xf numFmtId="0" fontId="2" fillId="5" borderId="0" xfId="0" applyFont="1" applyFill="1"/>
    <xf numFmtId="0" fontId="5" fillId="6" borderId="0" xfId="0" applyFont="1" applyFill="1"/>
    <xf numFmtId="2" fontId="0" fillId="0" borderId="1" xfId="0" applyNumberFormat="1" applyBorder="1"/>
    <xf numFmtId="0" fontId="0" fillId="0" borderId="1" xfId="0" applyBorder="1" applyAlignment="1">
      <alignment wrapText="1"/>
    </xf>
    <xf numFmtId="0" fontId="2" fillId="4" borderId="1" xfId="0" applyFont="1" applyFill="1" applyBorder="1"/>
    <xf numFmtId="0" fontId="2" fillId="4" borderId="0" xfId="0" applyFont="1" applyFill="1" applyBorder="1" applyAlignment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MARKS BY SUBJECT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Analysis!$B$2:$D$2</c:f>
              <c:strCache>
                <c:ptCount val="3"/>
                <c:pt idx="0">
                  <c:v>Maths_Marks</c:v>
                </c:pt>
                <c:pt idx="1">
                  <c:v>Science_Marks</c:v>
                </c:pt>
                <c:pt idx="2">
                  <c:v>English_Marks</c:v>
                </c:pt>
              </c:strCache>
            </c:strRef>
          </c:cat>
          <c:val>
            <c:numRef>
              <c:f>Analysis!$B$3:$D$3</c:f>
              <c:numCache>
                <c:formatCode>0.00</c:formatCode>
                <c:ptCount val="3"/>
                <c:pt idx="0">
                  <c:v>68.5</c:v>
                </c:pt>
                <c:pt idx="1">
                  <c:v>70.510000000000005</c:v>
                </c:pt>
                <c:pt idx="2">
                  <c:v>69.040000000000006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F-42C0-858D-DFD1E0D35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448159"/>
        <c:axId val="582423183"/>
      </c:barChart>
      <c:catAx>
        <c:axId val="80844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423183"/>
        <c:crosses val="autoZero"/>
        <c:auto val="1"/>
        <c:lblAlgn val="ctr"/>
        <c:lblOffset val="100"/>
        <c:noMultiLvlLbl val="0"/>
      </c:catAx>
      <c:valAx>
        <c:axId val="58242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44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PERFORMANCE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Analysis!$B$25</c:f>
              <c:strCache>
                <c:ptCount val="1"/>
                <c:pt idx="0">
                  <c:v>Student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Analysis!$A$26:$A$28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Analysis!$B$26:$B$28</c:f>
              <c:numCache>
                <c:formatCode>General</c:formatCode>
                <c:ptCount val="3"/>
                <c:pt idx="0">
                  <c:v>34</c:v>
                </c:pt>
                <c:pt idx="1">
                  <c:v>59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C-4A60-85A4-43A58552C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1399039"/>
        <c:axId val="582383343"/>
      </c:barChart>
      <c:catAx>
        <c:axId val="86139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383343"/>
        <c:crosses val="autoZero"/>
        <c:auto val="1"/>
        <c:lblAlgn val="ctr"/>
        <c:lblOffset val="100"/>
        <c:noMultiLvlLbl val="0"/>
      </c:catAx>
      <c:valAx>
        <c:axId val="58238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3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556260</xdr:colOff>
      <xdr:row>1</xdr:row>
      <xdr:rowOff>106680</xdr:rowOff>
    </xdr:from>
    <xdr:to>
      <xdr:col>18</xdr:col>
      <xdr:colOff>114300</xdr:colOff>
      <xdr:row>12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E093D-D224-CD18-723E-76FE76268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449580</xdr:colOff>
      <xdr:row>13</xdr:row>
      <xdr:rowOff>99060</xdr:rowOff>
    </xdr:from>
    <xdr:to>
      <xdr:col>17</xdr:col>
      <xdr:colOff>419100</xdr:colOff>
      <xdr:row>26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99D1C3-F867-5381-B044-AC99A38A7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showGridLines="0" workbookViewId="0">
      <pane ySplit="1" topLeftCell="A2" activePane="bottomLeft" state="frozen"/>
      <selection pane="bottomLeft" activeCell="A2" sqref="A2:J101"/>
    </sheetView>
  </sheetViews>
  <sheetFormatPr defaultRowHeight="14.4" x14ac:dyDescent="0.3"/>
  <cols>
    <col min="1" max="1" width="14" customWidth="1"/>
    <col min="2" max="2" width="17" customWidth="1"/>
    <col min="3" max="3" width="14" customWidth="1"/>
    <col min="4" max="4" width="15" customWidth="1"/>
    <col min="5" max="5" width="14" customWidth="1"/>
    <col min="6" max="7" width="15" customWidth="1"/>
    <col min="8" max="8" width="20" customWidth="1"/>
    <col min="9" max="9" width="21" customWidth="1"/>
    <col min="10" max="10" width="21.44140625" customWidth="1"/>
  </cols>
  <sheetData>
    <row r="1" spans="1:10" ht="31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8" t="s">
        <v>187</v>
      </c>
    </row>
    <row r="2" spans="1:10" x14ac:dyDescent="0.3">
      <c r="A2" s="5" t="s">
        <v>9</v>
      </c>
      <c r="B2" s="5" t="s">
        <v>10</v>
      </c>
      <c r="C2" s="5" t="s">
        <v>11</v>
      </c>
      <c r="D2" s="5" t="s">
        <v>12</v>
      </c>
      <c r="E2" s="6">
        <v>55</v>
      </c>
      <c r="F2" s="6">
        <v>66</v>
      </c>
      <c r="G2" s="6">
        <v>81</v>
      </c>
      <c r="H2" s="6">
        <v>72</v>
      </c>
      <c r="I2" s="10">
        <v>3.6</v>
      </c>
      <c r="J2" s="5" t="str">
        <f>IF(AVERAGE(E2:G2)&gt;=75, "High",IF(AVERAGE(E2:G2)&gt;=50,"Medium","Low"))</f>
        <v>Medium</v>
      </c>
    </row>
    <row r="3" spans="1:10" x14ac:dyDescent="0.3">
      <c r="A3" s="5" t="s">
        <v>13</v>
      </c>
      <c r="B3" s="5" t="s">
        <v>14</v>
      </c>
      <c r="C3" s="5" t="s">
        <v>15</v>
      </c>
      <c r="D3" s="5" t="s">
        <v>12</v>
      </c>
      <c r="E3" s="6">
        <v>84</v>
      </c>
      <c r="F3" s="6">
        <v>77</v>
      </c>
      <c r="G3" s="6">
        <v>87</v>
      </c>
      <c r="H3" s="6">
        <v>81</v>
      </c>
      <c r="I3" s="10">
        <v>1.9</v>
      </c>
      <c r="J3" s="5" t="str">
        <f t="shared" ref="J3:J66" si="0">IF(AVERAGE(E3:G3)&gt;=75, "High",IF(AVERAGE(E3:G3)&gt;=50,"Medium","Low"))</f>
        <v>High</v>
      </c>
    </row>
    <row r="4" spans="1:10" x14ac:dyDescent="0.3">
      <c r="A4" s="5" t="s">
        <v>16</v>
      </c>
      <c r="B4" s="5" t="s">
        <v>17</v>
      </c>
      <c r="C4" s="5" t="s">
        <v>15</v>
      </c>
      <c r="D4" s="5" t="s">
        <v>18</v>
      </c>
      <c r="E4" s="6">
        <v>69</v>
      </c>
      <c r="F4" s="6">
        <v>60</v>
      </c>
      <c r="G4" s="6">
        <v>58</v>
      </c>
      <c r="H4" s="6">
        <v>74</v>
      </c>
      <c r="I4" s="10">
        <v>3.2</v>
      </c>
      <c r="J4" s="5" t="str">
        <f t="shared" si="0"/>
        <v>Medium</v>
      </c>
    </row>
    <row r="5" spans="1:10" x14ac:dyDescent="0.3">
      <c r="A5" s="5" t="s">
        <v>19</v>
      </c>
      <c r="B5" s="5" t="s">
        <v>20</v>
      </c>
      <c r="C5" s="5" t="s">
        <v>15</v>
      </c>
      <c r="D5" s="5" t="s">
        <v>18</v>
      </c>
      <c r="E5" s="6">
        <v>61</v>
      </c>
      <c r="F5" s="6">
        <v>73</v>
      </c>
      <c r="G5" s="6">
        <v>70</v>
      </c>
      <c r="H5" s="6">
        <v>93</v>
      </c>
      <c r="I5" s="10">
        <v>2.6</v>
      </c>
      <c r="J5" s="5" t="str">
        <f t="shared" si="0"/>
        <v>Medium</v>
      </c>
    </row>
    <row r="6" spans="1:10" x14ac:dyDescent="0.3">
      <c r="A6" s="5" t="s">
        <v>21</v>
      </c>
      <c r="B6" s="5" t="s">
        <v>22</v>
      </c>
      <c r="C6" s="5" t="s">
        <v>15</v>
      </c>
      <c r="D6" s="5" t="s">
        <v>23</v>
      </c>
      <c r="E6" s="6">
        <v>66</v>
      </c>
      <c r="F6" s="6">
        <v>65</v>
      </c>
      <c r="G6" s="6">
        <v>79</v>
      </c>
      <c r="H6" s="6">
        <v>85</v>
      </c>
      <c r="I6" s="10">
        <v>5.2</v>
      </c>
      <c r="J6" s="5" t="str">
        <f t="shared" si="0"/>
        <v>Medium</v>
      </c>
    </row>
    <row r="7" spans="1:10" x14ac:dyDescent="0.3">
      <c r="A7" s="5" t="s">
        <v>24</v>
      </c>
      <c r="B7" s="5" t="s">
        <v>25</v>
      </c>
      <c r="C7" s="5" t="s">
        <v>15</v>
      </c>
      <c r="D7" s="5" t="s">
        <v>23</v>
      </c>
      <c r="E7" s="6">
        <v>65</v>
      </c>
      <c r="F7" s="6">
        <v>67</v>
      </c>
      <c r="G7" s="6">
        <v>64</v>
      </c>
      <c r="H7" s="6">
        <v>80</v>
      </c>
      <c r="I7" s="10">
        <v>1.9</v>
      </c>
      <c r="J7" s="5" t="str">
        <f t="shared" si="0"/>
        <v>Medium</v>
      </c>
    </row>
    <row r="8" spans="1:10" x14ac:dyDescent="0.3">
      <c r="A8" s="5" t="s">
        <v>26</v>
      </c>
      <c r="B8" s="5" t="s">
        <v>27</v>
      </c>
      <c r="C8" s="5" t="s">
        <v>15</v>
      </c>
      <c r="D8" s="5" t="s">
        <v>12</v>
      </c>
      <c r="E8" s="6">
        <v>82</v>
      </c>
      <c r="F8" s="6">
        <v>76</v>
      </c>
      <c r="G8" s="6">
        <v>79</v>
      </c>
      <c r="H8" s="6">
        <v>84</v>
      </c>
      <c r="I8" s="10">
        <v>2.9</v>
      </c>
      <c r="J8" s="5" t="str">
        <f t="shared" si="0"/>
        <v>High</v>
      </c>
    </row>
    <row r="9" spans="1:10" x14ac:dyDescent="0.3">
      <c r="A9" s="5" t="s">
        <v>28</v>
      </c>
      <c r="B9" s="5" t="s">
        <v>29</v>
      </c>
      <c r="C9" s="5" t="s">
        <v>15</v>
      </c>
      <c r="D9" s="5" t="s">
        <v>23</v>
      </c>
      <c r="E9" s="6">
        <v>53</v>
      </c>
      <c r="F9" s="6">
        <v>72</v>
      </c>
      <c r="G9" s="6">
        <v>51</v>
      </c>
      <c r="H9" s="6">
        <v>84</v>
      </c>
      <c r="I9" s="10">
        <v>3.5</v>
      </c>
      <c r="J9" s="5" t="str">
        <f t="shared" si="0"/>
        <v>Medium</v>
      </c>
    </row>
    <row r="10" spans="1:10" x14ac:dyDescent="0.3">
      <c r="A10" s="5" t="s">
        <v>30</v>
      </c>
      <c r="B10" s="5" t="s">
        <v>31</v>
      </c>
      <c r="C10" s="5" t="s">
        <v>11</v>
      </c>
      <c r="D10" s="5" t="s">
        <v>23</v>
      </c>
      <c r="E10" s="6">
        <v>57</v>
      </c>
      <c r="F10" s="6">
        <v>76</v>
      </c>
      <c r="G10" s="6">
        <v>80</v>
      </c>
      <c r="H10" s="6">
        <v>95</v>
      </c>
      <c r="I10" s="10">
        <v>1.8</v>
      </c>
      <c r="J10" s="5" t="str">
        <f t="shared" si="0"/>
        <v>Medium</v>
      </c>
    </row>
    <row r="11" spans="1:10" x14ac:dyDescent="0.3">
      <c r="A11" s="5" t="s">
        <v>32</v>
      </c>
      <c r="B11" s="5" t="s">
        <v>33</v>
      </c>
      <c r="C11" s="5" t="s">
        <v>15</v>
      </c>
      <c r="D11" s="5" t="s">
        <v>18</v>
      </c>
      <c r="E11" s="6">
        <v>63</v>
      </c>
      <c r="F11" s="6">
        <v>80</v>
      </c>
      <c r="G11" s="6">
        <v>68</v>
      </c>
      <c r="H11" s="6">
        <v>88</v>
      </c>
      <c r="I11" s="10">
        <v>3.7</v>
      </c>
      <c r="J11" s="5" t="str">
        <f t="shared" si="0"/>
        <v>Medium</v>
      </c>
    </row>
    <row r="12" spans="1:10" x14ac:dyDescent="0.3">
      <c r="A12" s="5" t="s">
        <v>34</v>
      </c>
      <c r="B12" s="5" t="s">
        <v>35</v>
      </c>
      <c r="C12" s="5" t="s">
        <v>15</v>
      </c>
      <c r="D12" s="5" t="s">
        <v>12</v>
      </c>
      <c r="E12" s="6">
        <v>70</v>
      </c>
      <c r="F12" s="6">
        <v>78</v>
      </c>
      <c r="G12" s="6">
        <v>65</v>
      </c>
      <c r="H12" s="6">
        <v>71</v>
      </c>
      <c r="I12" s="10">
        <v>1.8</v>
      </c>
      <c r="J12" s="5" t="str">
        <f t="shared" si="0"/>
        <v>Medium</v>
      </c>
    </row>
    <row r="13" spans="1:10" x14ac:dyDescent="0.3">
      <c r="A13" s="5" t="s">
        <v>36</v>
      </c>
      <c r="B13" s="5" t="s">
        <v>37</v>
      </c>
      <c r="C13" s="5" t="s">
        <v>15</v>
      </c>
      <c r="D13" s="5" t="s">
        <v>12</v>
      </c>
      <c r="E13" s="6">
        <v>65</v>
      </c>
      <c r="F13" s="6">
        <v>71</v>
      </c>
      <c r="G13" s="6">
        <v>70</v>
      </c>
      <c r="H13" s="6">
        <v>87</v>
      </c>
      <c r="I13" s="10">
        <v>2.5</v>
      </c>
      <c r="J13" s="5" t="str">
        <f t="shared" si="0"/>
        <v>Medium</v>
      </c>
    </row>
    <row r="14" spans="1:10" x14ac:dyDescent="0.3">
      <c r="A14" s="5" t="s">
        <v>38</v>
      </c>
      <c r="B14" s="5" t="s">
        <v>39</v>
      </c>
      <c r="C14" s="5" t="s">
        <v>15</v>
      </c>
      <c r="D14" s="5" t="s">
        <v>12</v>
      </c>
      <c r="E14" s="6">
        <v>74</v>
      </c>
      <c r="F14" s="6">
        <v>75</v>
      </c>
      <c r="G14" s="6">
        <v>75</v>
      </c>
      <c r="H14" s="6">
        <v>86</v>
      </c>
      <c r="I14" s="10">
        <v>2.2999999999999998</v>
      </c>
      <c r="J14" s="5" t="str">
        <f t="shared" si="0"/>
        <v>Medium</v>
      </c>
    </row>
    <row r="15" spans="1:10" x14ac:dyDescent="0.3">
      <c r="A15" s="5" t="s">
        <v>40</v>
      </c>
      <c r="B15" s="5" t="s">
        <v>41</v>
      </c>
      <c r="C15" s="5" t="s">
        <v>11</v>
      </c>
      <c r="D15" s="5" t="s">
        <v>18</v>
      </c>
      <c r="E15" s="6">
        <v>33</v>
      </c>
      <c r="F15" s="6">
        <v>38</v>
      </c>
      <c r="G15" s="6">
        <v>42</v>
      </c>
      <c r="H15" s="6">
        <v>78</v>
      </c>
      <c r="I15" s="10">
        <v>2.7</v>
      </c>
      <c r="J15" s="5" t="str">
        <f t="shared" si="0"/>
        <v>Low</v>
      </c>
    </row>
    <row r="16" spans="1:10" x14ac:dyDescent="0.3">
      <c r="A16" s="5" t="s">
        <v>42</v>
      </c>
      <c r="B16" s="5" t="s">
        <v>43</v>
      </c>
      <c r="C16" s="5" t="s">
        <v>11</v>
      </c>
      <c r="D16" s="5" t="s">
        <v>12</v>
      </c>
      <c r="E16" s="6">
        <v>74</v>
      </c>
      <c r="F16" s="6">
        <v>89</v>
      </c>
      <c r="G16" s="6">
        <v>70</v>
      </c>
      <c r="H16" s="6">
        <v>73</v>
      </c>
      <c r="I16" s="10">
        <v>2.4</v>
      </c>
      <c r="J16" s="5" t="str">
        <f t="shared" si="0"/>
        <v>High</v>
      </c>
    </row>
    <row r="17" spans="1:10" x14ac:dyDescent="0.3">
      <c r="A17" s="5" t="s">
        <v>44</v>
      </c>
      <c r="B17" s="5" t="s">
        <v>45</v>
      </c>
      <c r="C17" s="5" t="s">
        <v>15</v>
      </c>
      <c r="D17" s="5" t="s">
        <v>23</v>
      </c>
      <c r="E17" s="6">
        <v>53</v>
      </c>
      <c r="F17" s="6">
        <v>81</v>
      </c>
      <c r="G17" s="6">
        <v>77</v>
      </c>
      <c r="H17" s="6">
        <v>73</v>
      </c>
      <c r="I17" s="10">
        <v>2.4</v>
      </c>
      <c r="J17" s="5" t="str">
        <f t="shared" si="0"/>
        <v>Medium</v>
      </c>
    </row>
    <row r="18" spans="1:10" x14ac:dyDescent="0.3">
      <c r="A18" s="5" t="s">
        <v>46</v>
      </c>
      <c r="B18" s="5" t="s">
        <v>47</v>
      </c>
      <c r="C18" s="5" t="s">
        <v>15</v>
      </c>
      <c r="D18" s="5" t="s">
        <v>23</v>
      </c>
      <c r="E18" s="6">
        <v>64</v>
      </c>
      <c r="F18" s="6">
        <v>63</v>
      </c>
      <c r="G18" s="6">
        <v>78</v>
      </c>
      <c r="H18" s="6">
        <v>68</v>
      </c>
      <c r="I18" s="10">
        <v>2.9</v>
      </c>
      <c r="J18" s="5" t="str">
        <f t="shared" si="0"/>
        <v>Medium</v>
      </c>
    </row>
    <row r="19" spans="1:10" x14ac:dyDescent="0.3">
      <c r="A19" s="5" t="s">
        <v>48</v>
      </c>
      <c r="B19" s="5" t="s">
        <v>49</v>
      </c>
      <c r="C19" s="5" t="s">
        <v>11</v>
      </c>
      <c r="D19" s="5" t="s">
        <v>18</v>
      </c>
      <c r="E19" s="6">
        <v>86</v>
      </c>
      <c r="F19" s="6">
        <v>81</v>
      </c>
      <c r="G19" s="6">
        <v>74</v>
      </c>
      <c r="H19" s="6">
        <v>72</v>
      </c>
      <c r="I19" s="10">
        <v>3</v>
      </c>
      <c r="J19" s="5" t="str">
        <f t="shared" si="0"/>
        <v>High</v>
      </c>
    </row>
    <row r="20" spans="1:10" x14ac:dyDescent="0.3">
      <c r="A20" s="5" t="s">
        <v>50</v>
      </c>
      <c r="B20" s="5" t="s">
        <v>51</v>
      </c>
      <c r="C20" s="5" t="s">
        <v>15</v>
      </c>
      <c r="D20" s="5" t="s">
        <v>23</v>
      </c>
      <c r="E20" s="6">
        <v>50</v>
      </c>
      <c r="F20" s="6">
        <v>42</v>
      </c>
      <c r="G20" s="6">
        <v>63</v>
      </c>
      <c r="H20" s="6">
        <v>71</v>
      </c>
      <c r="I20" s="10">
        <v>2.1</v>
      </c>
      <c r="J20" s="5" t="str">
        <f t="shared" si="0"/>
        <v>Medium</v>
      </c>
    </row>
    <row r="21" spans="1:10" x14ac:dyDescent="0.3">
      <c r="A21" s="5" t="s">
        <v>52</v>
      </c>
      <c r="B21" s="5" t="s">
        <v>53</v>
      </c>
      <c r="C21" s="5" t="s">
        <v>11</v>
      </c>
      <c r="D21" s="5" t="s">
        <v>23</v>
      </c>
      <c r="E21" s="6">
        <v>76</v>
      </c>
      <c r="F21" s="6">
        <v>90</v>
      </c>
      <c r="G21" s="6">
        <v>96</v>
      </c>
      <c r="H21" s="6">
        <v>68</v>
      </c>
      <c r="I21" s="10">
        <v>1.7</v>
      </c>
      <c r="J21" s="5" t="str">
        <f t="shared" si="0"/>
        <v>High</v>
      </c>
    </row>
    <row r="22" spans="1:10" x14ac:dyDescent="0.3">
      <c r="A22" s="5" t="s">
        <v>54</v>
      </c>
      <c r="B22" s="5" t="s">
        <v>55</v>
      </c>
      <c r="C22" s="5" t="s">
        <v>11</v>
      </c>
      <c r="D22" s="5" t="s">
        <v>12</v>
      </c>
      <c r="E22" s="6">
        <v>53</v>
      </c>
      <c r="F22" s="6">
        <v>60</v>
      </c>
      <c r="G22" s="6">
        <v>58</v>
      </c>
      <c r="H22" s="6">
        <v>73</v>
      </c>
      <c r="I22" s="10">
        <v>0.5</v>
      </c>
      <c r="J22" s="5" t="str">
        <f t="shared" si="0"/>
        <v>Medium</v>
      </c>
    </row>
    <row r="23" spans="1:10" x14ac:dyDescent="0.3">
      <c r="A23" s="5" t="s">
        <v>56</v>
      </c>
      <c r="B23" s="5" t="s">
        <v>57</v>
      </c>
      <c r="C23" s="5" t="s">
        <v>11</v>
      </c>
      <c r="D23" s="5" t="s">
        <v>23</v>
      </c>
      <c r="E23" s="6">
        <v>57</v>
      </c>
      <c r="F23" s="6">
        <v>53</v>
      </c>
      <c r="G23" s="6">
        <v>65</v>
      </c>
      <c r="H23" s="6">
        <v>91</v>
      </c>
      <c r="I23" s="10">
        <v>3</v>
      </c>
      <c r="J23" s="5" t="str">
        <f t="shared" si="0"/>
        <v>Medium</v>
      </c>
    </row>
    <row r="24" spans="1:10" x14ac:dyDescent="0.3">
      <c r="A24" s="5" t="s">
        <v>58</v>
      </c>
      <c r="B24" s="5" t="s">
        <v>59</v>
      </c>
      <c r="C24" s="5" t="s">
        <v>11</v>
      </c>
      <c r="D24" s="5" t="s">
        <v>23</v>
      </c>
      <c r="E24" s="6">
        <v>88</v>
      </c>
      <c r="F24" s="6">
        <v>72</v>
      </c>
      <c r="G24" s="6">
        <v>65</v>
      </c>
      <c r="H24" s="6">
        <v>82</v>
      </c>
      <c r="I24" s="10">
        <v>4.7</v>
      </c>
      <c r="J24" s="5" t="str">
        <f t="shared" si="0"/>
        <v>High</v>
      </c>
    </row>
    <row r="25" spans="1:10" x14ac:dyDescent="0.3">
      <c r="A25" s="5" t="s">
        <v>60</v>
      </c>
      <c r="B25" s="5" t="s">
        <v>61</v>
      </c>
      <c r="C25" s="5" t="s">
        <v>11</v>
      </c>
      <c r="D25" s="5" t="s">
        <v>23</v>
      </c>
      <c r="E25" s="6">
        <v>76</v>
      </c>
      <c r="F25" s="6">
        <v>58</v>
      </c>
      <c r="G25" s="6">
        <v>76</v>
      </c>
      <c r="H25" s="6">
        <v>75</v>
      </c>
      <c r="I25" s="10">
        <v>5.0999999999999996</v>
      </c>
      <c r="J25" s="5" t="str">
        <f t="shared" si="0"/>
        <v>Medium</v>
      </c>
    </row>
    <row r="26" spans="1:10" x14ac:dyDescent="0.3">
      <c r="A26" s="5" t="s">
        <v>62</v>
      </c>
      <c r="B26" s="5" t="s">
        <v>63</v>
      </c>
      <c r="C26" s="5" t="s">
        <v>15</v>
      </c>
      <c r="D26" s="5" t="s">
        <v>23</v>
      </c>
      <c r="E26" s="6">
        <v>67</v>
      </c>
      <c r="F26" s="6">
        <v>59</v>
      </c>
      <c r="G26" s="6">
        <v>50</v>
      </c>
      <c r="H26" s="6">
        <v>80</v>
      </c>
      <c r="I26" s="10">
        <v>2.8</v>
      </c>
      <c r="J26" s="5" t="str">
        <f t="shared" si="0"/>
        <v>Medium</v>
      </c>
    </row>
    <row r="27" spans="1:10" x14ac:dyDescent="0.3">
      <c r="A27" s="5" t="s">
        <v>64</v>
      </c>
      <c r="B27" s="5" t="s">
        <v>65</v>
      </c>
      <c r="C27" s="5" t="s">
        <v>15</v>
      </c>
      <c r="D27" s="5" t="s">
        <v>12</v>
      </c>
      <c r="E27" s="6">
        <v>74</v>
      </c>
      <c r="F27" s="6">
        <v>81</v>
      </c>
      <c r="G27" s="6">
        <v>89</v>
      </c>
      <c r="H27" s="6">
        <v>83</v>
      </c>
      <c r="I27" s="10">
        <v>4.5</v>
      </c>
      <c r="J27" s="5" t="str">
        <f t="shared" si="0"/>
        <v>High</v>
      </c>
    </row>
    <row r="28" spans="1:10" x14ac:dyDescent="0.3">
      <c r="A28" s="5" t="s">
        <v>66</v>
      </c>
      <c r="B28" s="5" t="s">
        <v>67</v>
      </c>
      <c r="C28" s="5" t="s">
        <v>11</v>
      </c>
      <c r="D28" s="5" t="s">
        <v>12</v>
      </c>
      <c r="E28" s="6">
        <v>94</v>
      </c>
      <c r="F28" s="6">
        <v>80</v>
      </c>
      <c r="G28" s="6">
        <v>64</v>
      </c>
      <c r="H28" s="6">
        <v>78</v>
      </c>
      <c r="I28" s="10">
        <v>4</v>
      </c>
      <c r="J28" s="5" t="str">
        <f t="shared" si="0"/>
        <v>High</v>
      </c>
    </row>
    <row r="29" spans="1:10" x14ac:dyDescent="0.3">
      <c r="A29" s="5" t="s">
        <v>68</v>
      </c>
      <c r="B29" s="5" t="s">
        <v>69</v>
      </c>
      <c r="C29" s="5" t="s">
        <v>15</v>
      </c>
      <c r="D29" s="5" t="s">
        <v>23</v>
      </c>
      <c r="E29" s="6">
        <v>70</v>
      </c>
      <c r="F29" s="6">
        <v>93</v>
      </c>
      <c r="G29" s="6">
        <v>65</v>
      </c>
      <c r="H29" s="6">
        <v>96</v>
      </c>
      <c r="I29" s="10">
        <v>4.7</v>
      </c>
      <c r="J29" s="5" t="str">
        <f t="shared" si="0"/>
        <v>High</v>
      </c>
    </row>
    <row r="30" spans="1:10" x14ac:dyDescent="0.3">
      <c r="A30" s="5" t="s">
        <v>70</v>
      </c>
      <c r="B30" s="5" t="s">
        <v>71</v>
      </c>
      <c r="C30" s="5" t="s">
        <v>11</v>
      </c>
      <c r="D30" s="5" t="s">
        <v>23</v>
      </c>
      <c r="E30" s="6">
        <v>66</v>
      </c>
      <c r="F30" s="6">
        <v>74</v>
      </c>
      <c r="G30" s="6">
        <v>83</v>
      </c>
      <c r="H30" s="6">
        <v>87</v>
      </c>
      <c r="I30" s="10">
        <v>2.4</v>
      </c>
      <c r="J30" s="5" t="str">
        <f t="shared" si="0"/>
        <v>Medium</v>
      </c>
    </row>
    <row r="31" spans="1:10" x14ac:dyDescent="0.3">
      <c r="A31" s="5" t="s">
        <v>72</v>
      </c>
      <c r="B31" s="5" t="s">
        <v>73</v>
      </c>
      <c r="C31" s="5" t="s">
        <v>11</v>
      </c>
      <c r="D31" s="5" t="s">
        <v>23</v>
      </c>
      <c r="E31" s="6">
        <v>52</v>
      </c>
      <c r="F31" s="6">
        <v>51</v>
      </c>
      <c r="G31" s="6">
        <v>54</v>
      </c>
      <c r="H31" s="6">
        <v>87</v>
      </c>
      <c r="I31" s="10">
        <v>0.5</v>
      </c>
      <c r="J31" s="5" t="str">
        <f t="shared" si="0"/>
        <v>Medium</v>
      </c>
    </row>
    <row r="32" spans="1:10" x14ac:dyDescent="0.3">
      <c r="A32" s="5" t="s">
        <v>74</v>
      </c>
      <c r="B32" s="5" t="s">
        <v>10</v>
      </c>
      <c r="C32" s="5" t="s">
        <v>15</v>
      </c>
      <c r="D32" s="5" t="s">
        <v>12</v>
      </c>
      <c r="E32" s="6">
        <v>60</v>
      </c>
      <c r="F32" s="6">
        <v>64</v>
      </c>
      <c r="G32" s="6">
        <v>77</v>
      </c>
      <c r="H32" s="6">
        <v>90</v>
      </c>
      <c r="I32" s="10">
        <v>1.3</v>
      </c>
      <c r="J32" s="5" t="str">
        <f t="shared" si="0"/>
        <v>Medium</v>
      </c>
    </row>
    <row r="33" spans="1:10" x14ac:dyDescent="0.3">
      <c r="A33" s="5" t="s">
        <v>75</v>
      </c>
      <c r="B33" s="5" t="s">
        <v>14</v>
      </c>
      <c r="C33" s="5" t="s">
        <v>15</v>
      </c>
      <c r="D33" s="5" t="s">
        <v>18</v>
      </c>
      <c r="E33" s="6">
        <v>60</v>
      </c>
      <c r="F33" s="6">
        <v>68</v>
      </c>
      <c r="G33" s="6">
        <v>66</v>
      </c>
      <c r="H33" s="6">
        <v>94</v>
      </c>
      <c r="I33" s="10">
        <v>2.6</v>
      </c>
      <c r="J33" s="5" t="str">
        <f t="shared" si="0"/>
        <v>Medium</v>
      </c>
    </row>
    <row r="34" spans="1:10" x14ac:dyDescent="0.3">
      <c r="A34" s="5" t="s">
        <v>76</v>
      </c>
      <c r="B34" s="5" t="s">
        <v>17</v>
      </c>
      <c r="C34" s="5" t="s">
        <v>15</v>
      </c>
      <c r="D34" s="5" t="s">
        <v>23</v>
      </c>
      <c r="E34" s="6">
        <v>100</v>
      </c>
      <c r="F34" s="6">
        <v>87</v>
      </c>
      <c r="G34" s="6">
        <v>93</v>
      </c>
      <c r="H34" s="6">
        <v>82</v>
      </c>
      <c r="I34" s="10">
        <v>3.1</v>
      </c>
      <c r="J34" s="5" t="str">
        <f t="shared" si="0"/>
        <v>High</v>
      </c>
    </row>
    <row r="35" spans="1:10" x14ac:dyDescent="0.3">
      <c r="A35" s="5" t="s">
        <v>77</v>
      </c>
      <c r="B35" s="5" t="s">
        <v>20</v>
      </c>
      <c r="C35" s="5" t="s">
        <v>11</v>
      </c>
      <c r="D35" s="5" t="s">
        <v>18</v>
      </c>
      <c r="E35" s="6">
        <v>72</v>
      </c>
      <c r="F35" s="6">
        <v>75</v>
      </c>
      <c r="G35" s="6">
        <v>60</v>
      </c>
      <c r="H35" s="6">
        <v>76</v>
      </c>
      <c r="I35" s="10">
        <v>3.1</v>
      </c>
      <c r="J35" s="5" t="str">
        <f t="shared" si="0"/>
        <v>Medium</v>
      </c>
    </row>
    <row r="36" spans="1:10" x14ac:dyDescent="0.3">
      <c r="A36" s="5" t="s">
        <v>78</v>
      </c>
      <c r="B36" s="5" t="s">
        <v>22</v>
      </c>
      <c r="C36" s="5" t="s">
        <v>11</v>
      </c>
      <c r="D36" s="5" t="s">
        <v>18</v>
      </c>
      <c r="E36" s="6">
        <v>55</v>
      </c>
      <c r="F36" s="6">
        <v>39</v>
      </c>
      <c r="G36" s="6">
        <v>42</v>
      </c>
      <c r="H36" s="6">
        <v>72</v>
      </c>
      <c r="I36" s="10">
        <v>2.2000000000000002</v>
      </c>
      <c r="J36" s="5" t="str">
        <f t="shared" si="0"/>
        <v>Low</v>
      </c>
    </row>
    <row r="37" spans="1:10" x14ac:dyDescent="0.3">
      <c r="A37" s="5" t="s">
        <v>79</v>
      </c>
      <c r="B37" s="5" t="s">
        <v>25</v>
      </c>
      <c r="C37" s="5" t="s">
        <v>15</v>
      </c>
      <c r="D37" s="5" t="s">
        <v>23</v>
      </c>
      <c r="E37" s="6">
        <v>100</v>
      </c>
      <c r="F37" s="6">
        <v>70</v>
      </c>
      <c r="G37" s="6">
        <v>78</v>
      </c>
      <c r="H37" s="6">
        <v>70</v>
      </c>
      <c r="I37" s="10">
        <v>1.6</v>
      </c>
      <c r="J37" s="5" t="str">
        <f t="shared" si="0"/>
        <v>High</v>
      </c>
    </row>
    <row r="38" spans="1:10" x14ac:dyDescent="0.3">
      <c r="A38" s="5" t="s">
        <v>80</v>
      </c>
      <c r="B38" s="5" t="s">
        <v>27</v>
      </c>
      <c r="C38" s="5" t="s">
        <v>11</v>
      </c>
      <c r="D38" s="5" t="s">
        <v>23</v>
      </c>
      <c r="E38" s="6">
        <v>75</v>
      </c>
      <c r="F38" s="6">
        <v>72</v>
      </c>
      <c r="G38" s="6">
        <v>63</v>
      </c>
      <c r="H38" s="6">
        <v>97</v>
      </c>
      <c r="I38" s="10">
        <v>1.7</v>
      </c>
      <c r="J38" s="5" t="str">
        <f t="shared" si="0"/>
        <v>Medium</v>
      </c>
    </row>
    <row r="39" spans="1:10" x14ac:dyDescent="0.3">
      <c r="A39" s="5" t="s">
        <v>81</v>
      </c>
      <c r="B39" s="5" t="s">
        <v>29</v>
      </c>
      <c r="C39" s="5" t="s">
        <v>15</v>
      </c>
      <c r="D39" s="5" t="s">
        <v>23</v>
      </c>
      <c r="E39" s="6">
        <v>65</v>
      </c>
      <c r="F39" s="6">
        <v>58</v>
      </c>
      <c r="G39" s="6">
        <v>68</v>
      </c>
      <c r="H39" s="6">
        <v>69</v>
      </c>
      <c r="I39" s="10">
        <v>2.5</v>
      </c>
      <c r="J39" s="5" t="str">
        <f t="shared" si="0"/>
        <v>Medium</v>
      </c>
    </row>
    <row r="40" spans="1:10" x14ac:dyDescent="0.3">
      <c r="A40" s="5" t="s">
        <v>82</v>
      </c>
      <c r="B40" s="5" t="s">
        <v>31</v>
      </c>
      <c r="C40" s="5" t="s">
        <v>15</v>
      </c>
      <c r="D40" s="5" t="s">
        <v>12</v>
      </c>
      <c r="E40" s="6">
        <v>70</v>
      </c>
      <c r="F40" s="6">
        <v>64</v>
      </c>
      <c r="G40" s="6">
        <v>75</v>
      </c>
      <c r="H40" s="6">
        <v>83</v>
      </c>
      <c r="I40" s="10">
        <v>3.2</v>
      </c>
      <c r="J40" s="5" t="str">
        <f t="shared" si="0"/>
        <v>Medium</v>
      </c>
    </row>
    <row r="41" spans="1:10" x14ac:dyDescent="0.3">
      <c r="A41" s="5" t="s">
        <v>83</v>
      </c>
      <c r="B41" s="5" t="s">
        <v>33</v>
      </c>
      <c r="C41" s="5" t="s">
        <v>11</v>
      </c>
      <c r="D41" s="5" t="s">
        <v>23</v>
      </c>
      <c r="E41" s="6">
        <v>99</v>
      </c>
      <c r="F41" s="6">
        <v>88</v>
      </c>
      <c r="G41" s="6">
        <v>84</v>
      </c>
      <c r="H41" s="6">
        <v>100</v>
      </c>
      <c r="I41" s="10">
        <v>5.0999999999999996</v>
      </c>
      <c r="J41" s="5" t="str">
        <f t="shared" si="0"/>
        <v>High</v>
      </c>
    </row>
    <row r="42" spans="1:10" x14ac:dyDescent="0.3">
      <c r="A42" s="5" t="s">
        <v>84</v>
      </c>
      <c r="B42" s="5" t="s">
        <v>35</v>
      </c>
      <c r="C42" s="5" t="s">
        <v>11</v>
      </c>
      <c r="D42" s="5" t="s">
        <v>12</v>
      </c>
      <c r="E42" s="6">
        <v>64</v>
      </c>
      <c r="F42" s="6">
        <v>60</v>
      </c>
      <c r="G42" s="6">
        <v>43</v>
      </c>
      <c r="H42" s="6">
        <v>84</v>
      </c>
      <c r="I42" s="10">
        <v>3.3</v>
      </c>
      <c r="J42" s="5" t="str">
        <f t="shared" si="0"/>
        <v>Medium</v>
      </c>
    </row>
    <row r="43" spans="1:10" x14ac:dyDescent="0.3">
      <c r="A43" s="5" t="s">
        <v>85</v>
      </c>
      <c r="B43" s="5" t="s">
        <v>86</v>
      </c>
      <c r="C43" s="5" t="s">
        <v>11</v>
      </c>
      <c r="D43" s="5" t="s">
        <v>12</v>
      </c>
      <c r="E43" s="6">
        <v>65</v>
      </c>
      <c r="F43" s="6">
        <v>65</v>
      </c>
      <c r="G43" s="6">
        <v>69</v>
      </c>
      <c r="H43" s="6">
        <v>84</v>
      </c>
      <c r="I43" s="10">
        <v>2.9</v>
      </c>
      <c r="J43" s="5" t="str">
        <f t="shared" si="0"/>
        <v>Medium</v>
      </c>
    </row>
    <row r="44" spans="1:10" x14ac:dyDescent="0.3">
      <c r="A44" s="5" t="s">
        <v>87</v>
      </c>
      <c r="B44" s="5" t="s">
        <v>39</v>
      </c>
      <c r="C44" s="5" t="s">
        <v>15</v>
      </c>
      <c r="D44" s="5" t="s">
        <v>12</v>
      </c>
      <c r="E44" s="6">
        <v>69</v>
      </c>
      <c r="F44" s="6">
        <v>63</v>
      </c>
      <c r="G44" s="6">
        <v>48</v>
      </c>
      <c r="H44" s="6">
        <v>58</v>
      </c>
      <c r="I44" s="10">
        <v>2.5</v>
      </c>
      <c r="J44" s="5" t="str">
        <f t="shared" si="0"/>
        <v>Medium</v>
      </c>
    </row>
    <row r="45" spans="1:10" x14ac:dyDescent="0.3">
      <c r="A45" s="5" t="s">
        <v>88</v>
      </c>
      <c r="B45" s="5" t="s">
        <v>41</v>
      </c>
      <c r="C45" s="5" t="s">
        <v>11</v>
      </c>
      <c r="D45" s="5" t="s">
        <v>18</v>
      </c>
      <c r="E45" s="6">
        <v>71</v>
      </c>
      <c r="F45" s="6">
        <v>76</v>
      </c>
      <c r="G45" s="6">
        <v>65</v>
      </c>
      <c r="H45" s="6">
        <v>97</v>
      </c>
      <c r="I45" s="10">
        <v>1.1000000000000001</v>
      </c>
      <c r="J45" s="5" t="str">
        <f t="shared" si="0"/>
        <v>Medium</v>
      </c>
    </row>
    <row r="46" spans="1:10" x14ac:dyDescent="0.3">
      <c r="A46" s="5" t="s">
        <v>89</v>
      </c>
      <c r="B46" s="5" t="s">
        <v>43</v>
      </c>
      <c r="C46" s="5" t="s">
        <v>11</v>
      </c>
      <c r="D46" s="5" t="s">
        <v>23</v>
      </c>
      <c r="E46" s="6">
        <v>100</v>
      </c>
      <c r="F46" s="6">
        <v>96</v>
      </c>
      <c r="G46" s="6">
        <v>100</v>
      </c>
      <c r="H46" s="6">
        <v>93</v>
      </c>
      <c r="I46" s="10">
        <v>3.4</v>
      </c>
      <c r="J46" s="5" t="str">
        <f t="shared" si="0"/>
        <v>High</v>
      </c>
    </row>
    <row r="47" spans="1:10" x14ac:dyDescent="0.3">
      <c r="A47" s="5" t="s">
        <v>90</v>
      </c>
      <c r="B47" s="5" t="s">
        <v>45</v>
      </c>
      <c r="C47" s="5" t="s">
        <v>11</v>
      </c>
      <c r="D47" s="5" t="s">
        <v>18</v>
      </c>
      <c r="E47" s="6">
        <v>61</v>
      </c>
      <c r="F47" s="6">
        <v>82</v>
      </c>
      <c r="G47" s="6">
        <v>59</v>
      </c>
      <c r="H47" s="6">
        <v>89</v>
      </c>
      <c r="I47" s="10">
        <v>2.5</v>
      </c>
      <c r="J47" s="5" t="str">
        <f t="shared" si="0"/>
        <v>Medium</v>
      </c>
    </row>
    <row r="48" spans="1:10" x14ac:dyDescent="0.3">
      <c r="A48" s="5" t="s">
        <v>91</v>
      </c>
      <c r="B48" s="5" t="s">
        <v>47</v>
      </c>
      <c r="C48" s="5" t="s">
        <v>15</v>
      </c>
      <c r="D48" s="5" t="s">
        <v>12</v>
      </c>
      <c r="E48" s="6">
        <v>100</v>
      </c>
      <c r="F48" s="6">
        <v>90</v>
      </c>
      <c r="G48" s="6">
        <v>65</v>
      </c>
      <c r="H48" s="6">
        <v>80</v>
      </c>
      <c r="I48" s="10">
        <v>4.0999999999999996</v>
      </c>
      <c r="J48" s="5" t="str">
        <f t="shared" si="0"/>
        <v>High</v>
      </c>
    </row>
    <row r="49" spans="1:10" x14ac:dyDescent="0.3">
      <c r="A49" s="5" t="s">
        <v>92</v>
      </c>
      <c r="B49" s="5" t="s">
        <v>49</v>
      </c>
      <c r="C49" s="5" t="s">
        <v>15</v>
      </c>
      <c r="D49" s="5" t="s">
        <v>23</v>
      </c>
      <c r="E49" s="6">
        <v>87</v>
      </c>
      <c r="F49" s="6">
        <v>74</v>
      </c>
      <c r="G49" s="6">
        <v>71</v>
      </c>
      <c r="H49" s="6">
        <v>71</v>
      </c>
      <c r="I49" s="10">
        <v>2.2000000000000002</v>
      </c>
      <c r="J49" s="5" t="str">
        <f t="shared" si="0"/>
        <v>High</v>
      </c>
    </row>
    <row r="50" spans="1:10" x14ac:dyDescent="0.3">
      <c r="A50" s="5" t="s">
        <v>93</v>
      </c>
      <c r="B50" s="5" t="s">
        <v>51</v>
      </c>
      <c r="C50" s="5" t="s">
        <v>11</v>
      </c>
      <c r="D50" s="5" t="s">
        <v>23</v>
      </c>
      <c r="E50" s="6">
        <v>81</v>
      </c>
      <c r="F50" s="6">
        <v>76</v>
      </c>
      <c r="G50" s="6">
        <v>46</v>
      </c>
      <c r="H50" s="6">
        <v>71</v>
      </c>
      <c r="I50" s="10">
        <v>2.1</v>
      </c>
      <c r="J50" s="5" t="str">
        <f t="shared" si="0"/>
        <v>Medium</v>
      </c>
    </row>
    <row r="51" spans="1:10" x14ac:dyDescent="0.3">
      <c r="A51" s="5" t="s">
        <v>94</v>
      </c>
      <c r="B51" s="5" t="s">
        <v>53</v>
      </c>
      <c r="C51" s="5" t="s">
        <v>15</v>
      </c>
      <c r="D51" s="5" t="s">
        <v>18</v>
      </c>
      <c r="E51" s="6">
        <v>61</v>
      </c>
      <c r="F51" s="6">
        <v>82</v>
      </c>
      <c r="G51" s="6">
        <v>93</v>
      </c>
      <c r="H51" s="6">
        <v>82</v>
      </c>
      <c r="I51" s="10">
        <v>3.3</v>
      </c>
      <c r="J51" s="5" t="str">
        <f t="shared" si="0"/>
        <v>High</v>
      </c>
    </row>
    <row r="52" spans="1:10" x14ac:dyDescent="0.3">
      <c r="A52" s="5" t="s">
        <v>95</v>
      </c>
      <c r="B52" s="5" t="s">
        <v>55</v>
      </c>
      <c r="C52" s="5" t="s">
        <v>15</v>
      </c>
      <c r="D52" s="5" t="s">
        <v>23</v>
      </c>
      <c r="E52" s="6">
        <v>74</v>
      </c>
      <c r="F52" s="6">
        <v>91</v>
      </c>
      <c r="G52" s="6">
        <v>92</v>
      </c>
      <c r="H52" s="6">
        <v>95</v>
      </c>
      <c r="I52" s="10">
        <v>3.2</v>
      </c>
      <c r="J52" s="5" t="str">
        <f t="shared" si="0"/>
        <v>High</v>
      </c>
    </row>
    <row r="53" spans="1:10" x14ac:dyDescent="0.3">
      <c r="A53" s="5" t="s">
        <v>96</v>
      </c>
      <c r="B53" s="5" t="s">
        <v>57</v>
      </c>
      <c r="C53" s="5" t="s">
        <v>15</v>
      </c>
      <c r="D53" s="5" t="s">
        <v>12</v>
      </c>
      <c r="E53" s="6">
        <v>59</v>
      </c>
      <c r="F53" s="6">
        <v>61</v>
      </c>
      <c r="G53" s="6">
        <v>66</v>
      </c>
      <c r="H53" s="6">
        <v>84</v>
      </c>
      <c r="I53" s="10">
        <v>3.1</v>
      </c>
      <c r="J53" s="5" t="str">
        <f t="shared" si="0"/>
        <v>Medium</v>
      </c>
    </row>
    <row r="54" spans="1:10" x14ac:dyDescent="0.3">
      <c r="A54" s="5" t="s">
        <v>97</v>
      </c>
      <c r="B54" s="5" t="s">
        <v>59</v>
      </c>
      <c r="C54" s="5" t="s">
        <v>11</v>
      </c>
      <c r="D54" s="5" t="s">
        <v>12</v>
      </c>
      <c r="E54" s="6">
        <v>72</v>
      </c>
      <c r="F54" s="6">
        <v>74</v>
      </c>
      <c r="G54" s="6">
        <v>84</v>
      </c>
      <c r="H54" s="6">
        <v>72</v>
      </c>
      <c r="I54" s="10">
        <v>2.7</v>
      </c>
      <c r="J54" s="5" t="str">
        <f t="shared" si="0"/>
        <v>High</v>
      </c>
    </row>
    <row r="55" spans="1:10" x14ac:dyDescent="0.3">
      <c r="A55" s="5" t="s">
        <v>98</v>
      </c>
      <c r="B55" s="5" t="s">
        <v>61</v>
      </c>
      <c r="C55" s="5" t="s">
        <v>15</v>
      </c>
      <c r="D55" s="5" t="s">
        <v>18</v>
      </c>
      <c r="E55" s="6">
        <v>92</v>
      </c>
      <c r="F55" s="6">
        <v>90</v>
      </c>
      <c r="G55" s="6">
        <v>100</v>
      </c>
      <c r="H55" s="6">
        <v>82</v>
      </c>
      <c r="I55" s="10">
        <v>4.3</v>
      </c>
      <c r="J55" s="5" t="str">
        <f t="shared" si="0"/>
        <v>High</v>
      </c>
    </row>
    <row r="56" spans="1:10" x14ac:dyDescent="0.3">
      <c r="A56" s="5" t="s">
        <v>99</v>
      </c>
      <c r="B56" s="5" t="s">
        <v>63</v>
      </c>
      <c r="C56" s="5" t="s">
        <v>15</v>
      </c>
      <c r="D56" s="5" t="s">
        <v>18</v>
      </c>
      <c r="E56" s="6">
        <v>67</v>
      </c>
      <c r="F56" s="6">
        <v>82</v>
      </c>
      <c r="G56" s="6">
        <v>51</v>
      </c>
      <c r="H56" s="6">
        <v>63</v>
      </c>
      <c r="I56" s="10">
        <v>4.5999999999999996</v>
      </c>
      <c r="J56" s="5" t="str">
        <f t="shared" si="0"/>
        <v>Medium</v>
      </c>
    </row>
    <row r="57" spans="1:10" x14ac:dyDescent="0.3">
      <c r="A57" s="5" t="s">
        <v>100</v>
      </c>
      <c r="B57" s="5" t="s">
        <v>65</v>
      </c>
      <c r="C57" s="5" t="s">
        <v>11</v>
      </c>
      <c r="D57" s="5" t="s">
        <v>23</v>
      </c>
      <c r="E57" s="6">
        <v>74</v>
      </c>
      <c r="F57" s="6">
        <v>73</v>
      </c>
      <c r="G57" s="6">
        <v>54</v>
      </c>
      <c r="H57" s="6">
        <v>67</v>
      </c>
      <c r="I57" s="10">
        <v>1.9</v>
      </c>
      <c r="J57" s="5" t="str">
        <f t="shared" si="0"/>
        <v>Medium</v>
      </c>
    </row>
    <row r="58" spans="1:10" x14ac:dyDescent="0.3">
      <c r="A58" s="5" t="s">
        <v>101</v>
      </c>
      <c r="B58" s="5" t="s">
        <v>67</v>
      </c>
      <c r="C58" s="5" t="s">
        <v>11</v>
      </c>
      <c r="D58" s="5" t="s">
        <v>12</v>
      </c>
      <c r="E58" s="6">
        <v>80</v>
      </c>
      <c r="F58" s="6">
        <v>75</v>
      </c>
      <c r="G58" s="6">
        <v>80</v>
      </c>
      <c r="H58" s="6">
        <v>82</v>
      </c>
      <c r="I58" s="10">
        <v>2.2999999999999998</v>
      </c>
      <c r="J58" s="5" t="str">
        <f t="shared" si="0"/>
        <v>High</v>
      </c>
    </row>
    <row r="59" spans="1:10" x14ac:dyDescent="0.3">
      <c r="A59" s="5" t="s">
        <v>102</v>
      </c>
      <c r="B59" s="5" t="s">
        <v>69</v>
      </c>
      <c r="C59" s="5" t="s">
        <v>15</v>
      </c>
      <c r="D59" s="5" t="s">
        <v>12</v>
      </c>
      <c r="E59" s="6">
        <v>67</v>
      </c>
      <c r="F59" s="6">
        <v>76</v>
      </c>
      <c r="G59" s="6">
        <v>62</v>
      </c>
      <c r="H59" s="6">
        <v>86</v>
      </c>
      <c r="I59" s="10">
        <v>2</v>
      </c>
      <c r="J59" s="5" t="str">
        <f t="shared" si="0"/>
        <v>Medium</v>
      </c>
    </row>
    <row r="60" spans="1:10" x14ac:dyDescent="0.3">
      <c r="A60" s="5" t="s">
        <v>103</v>
      </c>
      <c r="B60" s="5" t="s">
        <v>71</v>
      </c>
      <c r="C60" s="5" t="s">
        <v>11</v>
      </c>
      <c r="D60" s="5" t="s">
        <v>18</v>
      </c>
      <c r="E60" s="6">
        <v>52</v>
      </c>
      <c r="F60" s="6">
        <v>64</v>
      </c>
      <c r="G60" s="6">
        <v>62</v>
      </c>
      <c r="H60" s="6">
        <v>79</v>
      </c>
      <c r="I60" s="10">
        <v>2.7</v>
      </c>
      <c r="J60" s="5" t="str">
        <f t="shared" si="0"/>
        <v>Medium</v>
      </c>
    </row>
    <row r="61" spans="1:10" x14ac:dyDescent="0.3">
      <c r="A61" s="5" t="s">
        <v>104</v>
      </c>
      <c r="B61" s="5" t="s">
        <v>73</v>
      </c>
      <c r="C61" s="5" t="s">
        <v>11</v>
      </c>
      <c r="D61" s="5" t="s">
        <v>12</v>
      </c>
      <c r="E61" s="6">
        <v>69</v>
      </c>
      <c r="F61" s="6">
        <v>81</v>
      </c>
      <c r="G61" s="6">
        <v>81</v>
      </c>
      <c r="H61" s="6">
        <v>75</v>
      </c>
      <c r="I61" s="10">
        <v>3.6</v>
      </c>
      <c r="J61" s="5" t="str">
        <f t="shared" si="0"/>
        <v>High</v>
      </c>
    </row>
    <row r="62" spans="1:10" x14ac:dyDescent="0.3">
      <c r="A62" s="5" t="s">
        <v>105</v>
      </c>
      <c r="B62" s="5" t="s">
        <v>10</v>
      </c>
      <c r="C62" s="5" t="s">
        <v>11</v>
      </c>
      <c r="D62" s="5" t="s">
        <v>23</v>
      </c>
      <c r="E62" s="6">
        <v>63</v>
      </c>
      <c r="F62" s="6">
        <v>68</v>
      </c>
      <c r="G62" s="6">
        <v>59</v>
      </c>
      <c r="H62" s="6">
        <v>75</v>
      </c>
      <c r="I62" s="10">
        <v>4.3</v>
      </c>
      <c r="J62" s="5" t="str">
        <f t="shared" si="0"/>
        <v>Medium</v>
      </c>
    </row>
    <row r="63" spans="1:10" x14ac:dyDescent="0.3">
      <c r="A63" s="5" t="s">
        <v>106</v>
      </c>
      <c r="B63" s="5" t="s">
        <v>14</v>
      </c>
      <c r="C63" s="5" t="s">
        <v>11</v>
      </c>
      <c r="D63" s="5" t="s">
        <v>23</v>
      </c>
      <c r="E63" s="6">
        <v>71</v>
      </c>
      <c r="F63" s="6">
        <v>94</v>
      </c>
      <c r="G63" s="6">
        <v>78</v>
      </c>
      <c r="H63" s="6">
        <v>78</v>
      </c>
      <c r="I63" s="10">
        <v>3.7</v>
      </c>
      <c r="J63" s="5" t="str">
        <f t="shared" si="0"/>
        <v>High</v>
      </c>
    </row>
    <row r="64" spans="1:10" x14ac:dyDescent="0.3">
      <c r="A64" s="5" t="s">
        <v>107</v>
      </c>
      <c r="B64" s="5" t="s">
        <v>17</v>
      </c>
      <c r="C64" s="5" t="s">
        <v>11</v>
      </c>
      <c r="D64" s="5" t="s">
        <v>23</v>
      </c>
      <c r="E64" s="6">
        <v>64</v>
      </c>
      <c r="F64" s="6">
        <v>68</v>
      </c>
      <c r="G64" s="6">
        <v>62</v>
      </c>
      <c r="H64" s="6">
        <v>80</v>
      </c>
      <c r="I64" s="10">
        <v>0.8</v>
      </c>
      <c r="J64" s="5" t="str">
        <f t="shared" si="0"/>
        <v>Medium</v>
      </c>
    </row>
    <row r="65" spans="1:10" x14ac:dyDescent="0.3">
      <c r="A65" s="5" t="s">
        <v>108</v>
      </c>
      <c r="B65" s="5" t="s">
        <v>20</v>
      </c>
      <c r="C65" s="5" t="s">
        <v>15</v>
      </c>
      <c r="D65" s="5" t="s">
        <v>18</v>
      </c>
      <c r="E65" s="6">
        <v>76</v>
      </c>
      <c r="F65" s="6">
        <v>88</v>
      </c>
      <c r="G65" s="6">
        <v>68</v>
      </c>
      <c r="H65" s="6">
        <v>85</v>
      </c>
      <c r="I65" s="10">
        <v>2.6</v>
      </c>
      <c r="J65" s="5" t="str">
        <f t="shared" si="0"/>
        <v>High</v>
      </c>
    </row>
    <row r="66" spans="1:10" x14ac:dyDescent="0.3">
      <c r="A66" s="5" t="s">
        <v>109</v>
      </c>
      <c r="B66" s="5" t="s">
        <v>22</v>
      </c>
      <c r="C66" s="5" t="s">
        <v>11</v>
      </c>
      <c r="D66" s="5" t="s">
        <v>18</v>
      </c>
      <c r="E66" s="6">
        <v>85</v>
      </c>
      <c r="F66" s="6">
        <v>81</v>
      </c>
      <c r="G66" s="6">
        <v>85</v>
      </c>
      <c r="H66" s="6">
        <v>91</v>
      </c>
      <c r="I66" s="10">
        <v>2.4</v>
      </c>
      <c r="J66" s="5" t="str">
        <f t="shared" si="0"/>
        <v>High</v>
      </c>
    </row>
    <row r="67" spans="1:10" x14ac:dyDescent="0.3">
      <c r="A67" s="5" t="s">
        <v>110</v>
      </c>
      <c r="B67" s="5" t="s">
        <v>25</v>
      </c>
      <c r="C67" s="5" t="s">
        <v>15</v>
      </c>
      <c r="D67" s="5" t="s">
        <v>18</v>
      </c>
      <c r="E67" s="6">
        <v>87</v>
      </c>
      <c r="F67" s="6">
        <v>66</v>
      </c>
      <c r="G67" s="6">
        <v>78</v>
      </c>
      <c r="H67" s="6">
        <v>100</v>
      </c>
      <c r="I67" s="10">
        <v>2.9</v>
      </c>
      <c r="J67" s="5" t="str">
        <f t="shared" ref="J67:J101" si="1">IF(AVERAGE(E67:G67)&gt;=75, "High",IF(AVERAGE(E67:G67)&gt;=50,"Medium","Low"))</f>
        <v>High</v>
      </c>
    </row>
    <row r="68" spans="1:10" x14ac:dyDescent="0.3">
      <c r="A68" s="5" t="s">
        <v>111</v>
      </c>
      <c r="B68" s="5" t="s">
        <v>27</v>
      </c>
      <c r="C68" s="5" t="s">
        <v>11</v>
      </c>
      <c r="D68" s="5" t="s">
        <v>18</v>
      </c>
      <c r="E68" s="6">
        <v>25</v>
      </c>
      <c r="F68" s="6">
        <v>40</v>
      </c>
      <c r="G68" s="6">
        <v>47</v>
      </c>
      <c r="H68" s="6">
        <v>84</v>
      </c>
      <c r="I68" s="10">
        <v>1.9</v>
      </c>
      <c r="J68" s="5" t="str">
        <f t="shared" si="1"/>
        <v>Low</v>
      </c>
    </row>
    <row r="69" spans="1:10" x14ac:dyDescent="0.3">
      <c r="A69" s="5" t="s">
        <v>112</v>
      </c>
      <c r="B69" s="5" t="s">
        <v>29</v>
      </c>
      <c r="C69" s="5" t="s">
        <v>11</v>
      </c>
      <c r="D69" s="5" t="s">
        <v>18</v>
      </c>
      <c r="E69" s="6">
        <v>70</v>
      </c>
      <c r="F69" s="6">
        <v>63</v>
      </c>
      <c r="G69" s="6">
        <v>64</v>
      </c>
      <c r="H69" s="6">
        <v>99</v>
      </c>
      <c r="I69" s="10">
        <v>4</v>
      </c>
      <c r="J69" s="5" t="str">
        <f t="shared" si="1"/>
        <v>Medium</v>
      </c>
    </row>
    <row r="70" spans="1:10" x14ac:dyDescent="0.3">
      <c r="A70" s="5" t="s">
        <v>113</v>
      </c>
      <c r="B70" s="5" t="s">
        <v>31</v>
      </c>
      <c r="C70" s="5" t="s">
        <v>15</v>
      </c>
      <c r="D70" s="5" t="s">
        <v>18</v>
      </c>
      <c r="E70" s="6">
        <v>65</v>
      </c>
      <c r="F70" s="6">
        <v>81</v>
      </c>
      <c r="G70" s="6">
        <v>100</v>
      </c>
      <c r="H70" s="6">
        <v>87</v>
      </c>
      <c r="I70" s="10">
        <v>2.4</v>
      </c>
      <c r="J70" s="5" t="str">
        <f t="shared" si="1"/>
        <v>High</v>
      </c>
    </row>
    <row r="71" spans="1:10" x14ac:dyDescent="0.3">
      <c r="A71" s="5" t="s">
        <v>114</v>
      </c>
      <c r="B71" s="5" t="s">
        <v>33</v>
      </c>
      <c r="C71" s="5" t="s">
        <v>15</v>
      </c>
      <c r="D71" s="5" t="s">
        <v>18</v>
      </c>
      <c r="E71" s="6">
        <v>76</v>
      </c>
      <c r="F71" s="6">
        <v>77</v>
      </c>
      <c r="G71" s="6">
        <v>70</v>
      </c>
      <c r="H71" s="6">
        <v>94</v>
      </c>
      <c r="I71" s="10">
        <v>2.9</v>
      </c>
      <c r="J71" s="5" t="str">
        <f t="shared" si="1"/>
        <v>Medium</v>
      </c>
    </row>
    <row r="72" spans="1:10" x14ac:dyDescent="0.3">
      <c r="A72" s="5" t="s">
        <v>115</v>
      </c>
      <c r="B72" s="5" t="s">
        <v>35</v>
      </c>
      <c r="C72" s="5" t="s">
        <v>11</v>
      </c>
      <c r="D72" s="5" t="s">
        <v>23</v>
      </c>
      <c r="E72" s="6">
        <v>84</v>
      </c>
      <c r="F72" s="6">
        <v>79</v>
      </c>
      <c r="G72" s="6">
        <v>86</v>
      </c>
      <c r="H72" s="6">
        <v>74</v>
      </c>
      <c r="I72" s="10">
        <v>3.5</v>
      </c>
      <c r="J72" s="5" t="str">
        <f t="shared" si="1"/>
        <v>High</v>
      </c>
    </row>
    <row r="73" spans="1:10" x14ac:dyDescent="0.3">
      <c r="A73" s="5" t="s">
        <v>116</v>
      </c>
      <c r="B73" s="5" t="s">
        <v>37</v>
      </c>
      <c r="C73" s="5" t="s">
        <v>11</v>
      </c>
      <c r="D73" s="5" t="s">
        <v>23</v>
      </c>
      <c r="E73" s="6">
        <v>37</v>
      </c>
      <c r="F73" s="6">
        <v>46</v>
      </c>
      <c r="G73" s="6">
        <v>75</v>
      </c>
      <c r="H73" s="6">
        <v>90</v>
      </c>
      <c r="I73" s="10">
        <v>0.8</v>
      </c>
      <c r="J73" s="5" t="str">
        <f t="shared" si="1"/>
        <v>Medium</v>
      </c>
    </row>
    <row r="74" spans="1:10" x14ac:dyDescent="0.3">
      <c r="A74" s="5" t="s">
        <v>117</v>
      </c>
      <c r="B74" s="5" t="s">
        <v>39</v>
      </c>
      <c r="C74" s="5" t="s">
        <v>15</v>
      </c>
      <c r="D74" s="5" t="s">
        <v>23</v>
      </c>
      <c r="E74" s="6">
        <v>26</v>
      </c>
      <c r="F74" s="6">
        <v>61</v>
      </c>
      <c r="G74" s="6">
        <v>38</v>
      </c>
      <c r="H74" s="6">
        <v>75</v>
      </c>
      <c r="I74" s="10">
        <v>1.1000000000000001</v>
      </c>
      <c r="J74" s="5" t="str">
        <f t="shared" si="1"/>
        <v>Low</v>
      </c>
    </row>
    <row r="75" spans="1:10" x14ac:dyDescent="0.3">
      <c r="A75" s="5" t="s">
        <v>118</v>
      </c>
      <c r="B75" s="5" t="s">
        <v>41</v>
      </c>
      <c r="C75" s="5" t="s">
        <v>11</v>
      </c>
      <c r="D75" s="5" t="s">
        <v>23</v>
      </c>
      <c r="E75" s="6">
        <v>62</v>
      </c>
      <c r="F75" s="6">
        <v>62</v>
      </c>
      <c r="G75" s="6">
        <v>70</v>
      </c>
      <c r="H75" s="6">
        <v>86</v>
      </c>
      <c r="I75" s="10">
        <v>1.1000000000000001</v>
      </c>
      <c r="J75" s="5" t="str">
        <f t="shared" si="1"/>
        <v>Medium</v>
      </c>
    </row>
    <row r="76" spans="1:10" x14ac:dyDescent="0.3">
      <c r="A76" s="5" t="s">
        <v>119</v>
      </c>
      <c r="B76" s="5" t="s">
        <v>43</v>
      </c>
      <c r="C76" s="5" t="s">
        <v>15</v>
      </c>
      <c r="D76" s="5" t="s">
        <v>18</v>
      </c>
      <c r="E76" s="6">
        <v>96</v>
      </c>
      <c r="F76" s="6">
        <v>67</v>
      </c>
      <c r="G76" s="6">
        <v>68</v>
      </c>
      <c r="H76" s="6">
        <v>88</v>
      </c>
      <c r="I76" s="10">
        <v>2</v>
      </c>
      <c r="J76" s="5" t="str">
        <f t="shared" si="1"/>
        <v>High</v>
      </c>
    </row>
    <row r="77" spans="1:10" x14ac:dyDescent="0.3">
      <c r="A77" s="5" t="s">
        <v>120</v>
      </c>
      <c r="B77" s="5" t="s">
        <v>45</v>
      </c>
      <c r="C77" s="5" t="s">
        <v>15</v>
      </c>
      <c r="D77" s="5" t="s">
        <v>12</v>
      </c>
      <c r="E77" s="6">
        <v>86</v>
      </c>
      <c r="F77" s="6">
        <v>72</v>
      </c>
      <c r="G77" s="6">
        <v>72</v>
      </c>
      <c r="H77" s="6">
        <v>80</v>
      </c>
      <c r="I77" s="10">
        <v>4.3</v>
      </c>
      <c r="J77" s="5" t="str">
        <f t="shared" si="1"/>
        <v>High</v>
      </c>
    </row>
    <row r="78" spans="1:10" x14ac:dyDescent="0.3">
      <c r="A78" s="5" t="s">
        <v>121</v>
      </c>
      <c r="B78" s="5" t="s">
        <v>47</v>
      </c>
      <c r="C78" s="5" t="s">
        <v>11</v>
      </c>
      <c r="D78" s="5" t="s">
        <v>18</v>
      </c>
      <c r="E78" s="6">
        <v>66</v>
      </c>
      <c r="F78" s="6">
        <v>45</v>
      </c>
      <c r="G78" s="6">
        <v>68</v>
      </c>
      <c r="H78" s="6">
        <v>78</v>
      </c>
      <c r="I78" s="10">
        <v>1.8</v>
      </c>
      <c r="J78" s="5" t="str">
        <f t="shared" si="1"/>
        <v>Medium</v>
      </c>
    </row>
    <row r="79" spans="1:10" x14ac:dyDescent="0.3">
      <c r="A79" s="5" t="s">
        <v>122</v>
      </c>
      <c r="B79" s="5" t="s">
        <v>49</v>
      </c>
      <c r="C79" s="5" t="s">
        <v>11</v>
      </c>
      <c r="D79" s="5" t="s">
        <v>18</v>
      </c>
      <c r="E79" s="6">
        <v>35</v>
      </c>
      <c r="F79" s="6">
        <v>48</v>
      </c>
      <c r="G79" s="6">
        <v>59</v>
      </c>
      <c r="H79" s="6">
        <v>92</v>
      </c>
      <c r="I79" s="10">
        <v>0.5</v>
      </c>
      <c r="J79" s="5" t="str">
        <f t="shared" si="1"/>
        <v>Low</v>
      </c>
    </row>
    <row r="80" spans="1:10" x14ac:dyDescent="0.3">
      <c r="A80" s="5" t="s">
        <v>123</v>
      </c>
      <c r="B80" s="5" t="s">
        <v>51</v>
      </c>
      <c r="C80" s="5" t="s">
        <v>15</v>
      </c>
      <c r="D80" s="5" t="s">
        <v>18</v>
      </c>
      <c r="E80" s="6">
        <v>57</v>
      </c>
      <c r="F80" s="6">
        <v>79</v>
      </c>
      <c r="G80" s="6">
        <v>77</v>
      </c>
      <c r="H80" s="6">
        <v>79</v>
      </c>
      <c r="I80" s="10">
        <v>2.6</v>
      </c>
      <c r="J80" s="5" t="str">
        <f t="shared" si="1"/>
        <v>Medium</v>
      </c>
    </row>
    <row r="81" spans="1:10" x14ac:dyDescent="0.3">
      <c r="A81" s="5" t="s">
        <v>124</v>
      </c>
      <c r="B81" s="5" t="s">
        <v>53</v>
      </c>
      <c r="C81" s="5" t="s">
        <v>15</v>
      </c>
      <c r="D81" s="5" t="s">
        <v>12</v>
      </c>
      <c r="E81" s="6">
        <v>90</v>
      </c>
      <c r="F81" s="6">
        <v>89</v>
      </c>
      <c r="G81" s="6">
        <v>84</v>
      </c>
      <c r="H81" s="6">
        <v>87</v>
      </c>
      <c r="I81" s="10">
        <v>3.1</v>
      </c>
      <c r="J81" s="5" t="str">
        <f t="shared" si="1"/>
        <v>High</v>
      </c>
    </row>
    <row r="82" spans="1:10" x14ac:dyDescent="0.3">
      <c r="A82" s="5" t="s">
        <v>125</v>
      </c>
      <c r="B82" s="5" t="s">
        <v>55</v>
      </c>
      <c r="C82" s="5" t="s">
        <v>11</v>
      </c>
      <c r="D82" s="5" t="s">
        <v>12</v>
      </c>
      <c r="E82" s="6">
        <v>67</v>
      </c>
      <c r="F82" s="6">
        <v>65</v>
      </c>
      <c r="G82" s="6">
        <v>56</v>
      </c>
      <c r="H82" s="6">
        <v>70</v>
      </c>
      <c r="I82" s="10">
        <v>1.8</v>
      </c>
      <c r="J82" s="5" t="str">
        <f t="shared" si="1"/>
        <v>Medium</v>
      </c>
    </row>
    <row r="83" spans="1:10" x14ac:dyDescent="0.3">
      <c r="A83" s="5" t="s">
        <v>126</v>
      </c>
      <c r="B83" s="5" t="s">
        <v>57</v>
      </c>
      <c r="C83" s="5" t="s">
        <v>11</v>
      </c>
      <c r="D83" s="5" t="s">
        <v>18</v>
      </c>
      <c r="E83" s="6">
        <v>69</v>
      </c>
      <c r="F83" s="6">
        <v>67</v>
      </c>
      <c r="G83" s="6">
        <v>49</v>
      </c>
      <c r="H83" s="6">
        <v>88</v>
      </c>
      <c r="I83" s="10">
        <v>2.6</v>
      </c>
      <c r="J83" s="5" t="str">
        <f t="shared" si="1"/>
        <v>Medium</v>
      </c>
    </row>
    <row r="84" spans="1:10" x14ac:dyDescent="0.3">
      <c r="A84" s="5" t="s">
        <v>127</v>
      </c>
      <c r="B84" s="5" t="s">
        <v>59</v>
      </c>
      <c r="C84" s="5" t="s">
        <v>15</v>
      </c>
      <c r="D84" s="5" t="s">
        <v>23</v>
      </c>
      <c r="E84" s="6">
        <v>50</v>
      </c>
      <c r="F84" s="6">
        <v>84</v>
      </c>
      <c r="G84" s="6">
        <v>81</v>
      </c>
      <c r="H84" s="6">
        <v>84</v>
      </c>
      <c r="I84" s="10">
        <v>1.8</v>
      </c>
      <c r="J84" s="5" t="str">
        <f t="shared" si="1"/>
        <v>Medium</v>
      </c>
    </row>
    <row r="85" spans="1:10" x14ac:dyDescent="0.3">
      <c r="A85" s="5" t="s">
        <v>128</v>
      </c>
      <c r="B85" s="5" t="s">
        <v>61</v>
      </c>
      <c r="C85" s="5" t="s">
        <v>15</v>
      </c>
      <c r="D85" s="5" t="s">
        <v>12</v>
      </c>
      <c r="E85" s="6">
        <v>47</v>
      </c>
      <c r="F85" s="6">
        <v>41</v>
      </c>
      <c r="G85" s="6">
        <v>59</v>
      </c>
      <c r="H85" s="6">
        <v>85</v>
      </c>
      <c r="I85" s="10">
        <v>0.5</v>
      </c>
      <c r="J85" s="5" t="str">
        <f t="shared" si="1"/>
        <v>Low</v>
      </c>
    </row>
    <row r="86" spans="1:10" x14ac:dyDescent="0.3">
      <c r="A86" s="5" t="s">
        <v>129</v>
      </c>
      <c r="B86" s="5" t="s">
        <v>63</v>
      </c>
      <c r="C86" s="5" t="s">
        <v>15</v>
      </c>
      <c r="D86" s="5" t="s">
        <v>12</v>
      </c>
      <c r="E86" s="6">
        <v>86</v>
      </c>
      <c r="F86" s="6">
        <v>55</v>
      </c>
      <c r="G86" s="6">
        <v>70</v>
      </c>
      <c r="H86" s="6">
        <v>71</v>
      </c>
      <c r="I86" s="10">
        <v>1.9</v>
      </c>
      <c r="J86" s="5" t="str">
        <f t="shared" si="1"/>
        <v>Medium</v>
      </c>
    </row>
    <row r="87" spans="1:10" x14ac:dyDescent="0.3">
      <c r="A87" s="5" t="s">
        <v>130</v>
      </c>
      <c r="B87" s="5" t="s">
        <v>65</v>
      </c>
      <c r="C87" s="5" t="s">
        <v>15</v>
      </c>
      <c r="D87" s="5" t="s">
        <v>12</v>
      </c>
      <c r="E87" s="6">
        <v>51</v>
      </c>
      <c r="F87" s="6">
        <v>68</v>
      </c>
      <c r="G87" s="6">
        <v>61</v>
      </c>
      <c r="H87" s="6">
        <v>67</v>
      </c>
      <c r="I87" s="10">
        <v>1.4</v>
      </c>
      <c r="J87" s="5" t="str">
        <f t="shared" si="1"/>
        <v>Medium</v>
      </c>
    </row>
    <row r="88" spans="1:10" x14ac:dyDescent="0.3">
      <c r="A88" s="5" t="s">
        <v>131</v>
      </c>
      <c r="B88" s="5" t="s">
        <v>67</v>
      </c>
      <c r="C88" s="5" t="s">
        <v>11</v>
      </c>
      <c r="D88" s="5" t="s">
        <v>12</v>
      </c>
      <c r="E88" s="6">
        <v>73</v>
      </c>
      <c r="F88" s="6">
        <v>75</v>
      </c>
      <c r="G88" s="6">
        <v>87</v>
      </c>
      <c r="H88" s="6">
        <v>86</v>
      </c>
      <c r="I88" s="10">
        <v>2.2000000000000002</v>
      </c>
      <c r="J88" s="5" t="str">
        <f t="shared" si="1"/>
        <v>High</v>
      </c>
    </row>
    <row r="89" spans="1:10" x14ac:dyDescent="0.3">
      <c r="A89" s="5" t="s">
        <v>132</v>
      </c>
      <c r="B89" s="5" t="s">
        <v>69</v>
      </c>
      <c r="C89" s="5" t="s">
        <v>11</v>
      </c>
      <c r="D89" s="5" t="s">
        <v>12</v>
      </c>
      <c r="E89" s="6">
        <v>56</v>
      </c>
      <c r="F89" s="6">
        <v>73</v>
      </c>
      <c r="G89" s="6">
        <v>56</v>
      </c>
      <c r="H89" s="6">
        <v>86</v>
      </c>
      <c r="I89" s="10">
        <v>0.9</v>
      </c>
      <c r="J89" s="5" t="str">
        <f t="shared" si="1"/>
        <v>Medium</v>
      </c>
    </row>
    <row r="90" spans="1:10" x14ac:dyDescent="0.3">
      <c r="A90" s="5" t="s">
        <v>133</v>
      </c>
      <c r="B90" s="5" t="s">
        <v>71</v>
      </c>
      <c r="C90" s="5" t="s">
        <v>15</v>
      </c>
      <c r="D90" s="5" t="s">
        <v>12</v>
      </c>
      <c r="E90" s="6">
        <v>73</v>
      </c>
      <c r="F90" s="6">
        <v>65</v>
      </c>
      <c r="G90" s="6">
        <v>86</v>
      </c>
      <c r="H90" s="6">
        <v>74</v>
      </c>
      <c r="I90" s="10">
        <v>1.4</v>
      </c>
      <c r="J90" s="5" t="str">
        <f t="shared" si="1"/>
        <v>Medium</v>
      </c>
    </row>
    <row r="91" spans="1:10" x14ac:dyDescent="0.3">
      <c r="A91" s="5" t="s">
        <v>134</v>
      </c>
      <c r="B91" s="5" t="s">
        <v>73</v>
      </c>
      <c r="C91" s="5" t="s">
        <v>11</v>
      </c>
      <c r="D91" s="5" t="s">
        <v>12</v>
      </c>
      <c r="E91" s="6">
        <v>69</v>
      </c>
      <c r="F91" s="6">
        <v>59</v>
      </c>
      <c r="G91" s="6">
        <v>60</v>
      </c>
      <c r="H91" s="6">
        <v>82</v>
      </c>
      <c r="I91" s="10">
        <v>3.1</v>
      </c>
      <c r="J91" s="5" t="str">
        <f t="shared" si="1"/>
        <v>Medium</v>
      </c>
    </row>
    <row r="92" spans="1:10" x14ac:dyDescent="0.3">
      <c r="A92" s="5" t="s">
        <v>135</v>
      </c>
      <c r="B92" s="5" t="s">
        <v>10</v>
      </c>
      <c r="C92" s="5" t="s">
        <v>15</v>
      </c>
      <c r="D92" s="5" t="s">
        <v>12</v>
      </c>
      <c r="E92" s="6">
        <v>100</v>
      </c>
      <c r="F92" s="6">
        <v>73</v>
      </c>
      <c r="G92" s="6">
        <v>58</v>
      </c>
      <c r="H92" s="6">
        <v>72</v>
      </c>
      <c r="I92" s="10">
        <v>0.5</v>
      </c>
      <c r="J92" s="5" t="str">
        <f t="shared" si="1"/>
        <v>High</v>
      </c>
    </row>
    <row r="93" spans="1:10" x14ac:dyDescent="0.3">
      <c r="A93" s="5" t="s">
        <v>136</v>
      </c>
      <c r="B93" s="5" t="s">
        <v>14</v>
      </c>
      <c r="C93" s="5" t="s">
        <v>11</v>
      </c>
      <c r="D93" s="5" t="s">
        <v>18</v>
      </c>
      <c r="E93" s="6">
        <v>63</v>
      </c>
      <c r="F93" s="6">
        <v>64</v>
      </c>
      <c r="G93" s="6">
        <v>42</v>
      </c>
      <c r="H93" s="6">
        <v>79</v>
      </c>
      <c r="I93" s="10">
        <v>2.6</v>
      </c>
      <c r="J93" s="5" t="str">
        <f t="shared" si="1"/>
        <v>Medium</v>
      </c>
    </row>
    <row r="94" spans="1:10" x14ac:dyDescent="0.3">
      <c r="A94" s="5" t="s">
        <v>137</v>
      </c>
      <c r="B94" s="5" t="s">
        <v>17</v>
      </c>
      <c r="C94" s="5" t="s">
        <v>11</v>
      </c>
      <c r="D94" s="5" t="s">
        <v>12</v>
      </c>
      <c r="E94" s="6">
        <v>67</v>
      </c>
      <c r="F94" s="6">
        <v>78</v>
      </c>
      <c r="G94" s="6">
        <v>53</v>
      </c>
      <c r="H94" s="6">
        <v>100</v>
      </c>
      <c r="I94" s="10">
        <v>3</v>
      </c>
      <c r="J94" s="5" t="str">
        <f t="shared" si="1"/>
        <v>Medium</v>
      </c>
    </row>
    <row r="95" spans="1:10" x14ac:dyDescent="0.3">
      <c r="A95" s="5" t="s">
        <v>138</v>
      </c>
      <c r="B95" s="5" t="s">
        <v>20</v>
      </c>
      <c r="C95" s="5" t="s">
        <v>11</v>
      </c>
      <c r="D95" s="5" t="s">
        <v>18</v>
      </c>
      <c r="E95" s="6">
        <v>92</v>
      </c>
      <c r="F95" s="6">
        <v>62</v>
      </c>
      <c r="G95" s="6">
        <v>79</v>
      </c>
      <c r="H95" s="6">
        <v>78</v>
      </c>
      <c r="I95" s="10">
        <v>4.8</v>
      </c>
      <c r="J95" s="5" t="str">
        <f t="shared" si="1"/>
        <v>High</v>
      </c>
    </row>
    <row r="96" spans="1:10" x14ac:dyDescent="0.3">
      <c r="A96" s="5" t="s">
        <v>139</v>
      </c>
      <c r="B96" s="5" t="s">
        <v>22</v>
      </c>
      <c r="C96" s="5" t="s">
        <v>15</v>
      </c>
      <c r="D96" s="5" t="s">
        <v>23</v>
      </c>
      <c r="E96" s="6">
        <v>76</v>
      </c>
      <c r="F96" s="6">
        <v>63</v>
      </c>
      <c r="G96" s="6">
        <v>81</v>
      </c>
      <c r="H96" s="6">
        <v>74</v>
      </c>
      <c r="I96" s="10">
        <v>3</v>
      </c>
      <c r="J96" s="5" t="str">
        <f t="shared" si="1"/>
        <v>Medium</v>
      </c>
    </row>
    <row r="97" spans="1:10" x14ac:dyDescent="0.3">
      <c r="A97" s="5" t="s">
        <v>140</v>
      </c>
      <c r="B97" s="5" t="s">
        <v>25</v>
      </c>
      <c r="C97" s="5" t="s">
        <v>15</v>
      </c>
      <c r="D97" s="5" t="s">
        <v>18</v>
      </c>
      <c r="E97" s="6">
        <v>31</v>
      </c>
      <c r="F97" s="6">
        <v>58</v>
      </c>
      <c r="G97" s="6">
        <v>46</v>
      </c>
      <c r="H97" s="6">
        <v>78</v>
      </c>
      <c r="I97" s="10">
        <v>2.7</v>
      </c>
      <c r="J97" s="5" t="str">
        <f t="shared" si="1"/>
        <v>Low</v>
      </c>
    </row>
    <row r="98" spans="1:10" x14ac:dyDescent="0.3">
      <c r="A98" s="5" t="s">
        <v>141</v>
      </c>
      <c r="B98" s="5" t="s">
        <v>27</v>
      </c>
      <c r="C98" s="5" t="s">
        <v>15</v>
      </c>
      <c r="D98" s="5" t="s">
        <v>12</v>
      </c>
      <c r="E98" s="6">
        <v>48</v>
      </c>
      <c r="F98" s="6">
        <v>75</v>
      </c>
      <c r="G98" s="6">
        <v>68</v>
      </c>
      <c r="H98" s="6">
        <v>89</v>
      </c>
      <c r="I98" s="10">
        <v>3.1</v>
      </c>
      <c r="J98" s="5" t="str">
        <f t="shared" si="1"/>
        <v>Medium</v>
      </c>
    </row>
    <row r="99" spans="1:10" x14ac:dyDescent="0.3">
      <c r="A99" s="5" t="s">
        <v>142</v>
      </c>
      <c r="B99" s="5" t="s">
        <v>29</v>
      </c>
      <c r="C99" s="5" t="s">
        <v>11</v>
      </c>
      <c r="D99" s="5" t="s">
        <v>12</v>
      </c>
      <c r="E99" s="6">
        <v>72</v>
      </c>
      <c r="F99" s="6">
        <v>85</v>
      </c>
      <c r="G99" s="6">
        <v>82</v>
      </c>
      <c r="H99" s="6">
        <v>85</v>
      </c>
      <c r="I99" s="10">
        <v>3.3</v>
      </c>
      <c r="J99" s="5" t="str">
        <f t="shared" si="1"/>
        <v>High</v>
      </c>
    </row>
    <row r="100" spans="1:10" x14ac:dyDescent="0.3">
      <c r="A100" s="5" t="s">
        <v>143</v>
      </c>
      <c r="B100" s="5" t="s">
        <v>31</v>
      </c>
      <c r="C100" s="5" t="s">
        <v>15</v>
      </c>
      <c r="D100" s="5" t="s">
        <v>12</v>
      </c>
      <c r="E100" s="6">
        <v>71</v>
      </c>
      <c r="F100" s="6">
        <v>80</v>
      </c>
      <c r="G100" s="6">
        <v>58</v>
      </c>
      <c r="H100" s="6">
        <v>77</v>
      </c>
      <c r="I100" s="10">
        <v>2.2999999999999998</v>
      </c>
      <c r="J100" s="5" t="str">
        <f t="shared" si="1"/>
        <v>Medium</v>
      </c>
    </row>
    <row r="101" spans="1:10" x14ac:dyDescent="0.3">
      <c r="A101" s="5" t="s">
        <v>144</v>
      </c>
      <c r="B101" s="5" t="s">
        <v>33</v>
      </c>
      <c r="C101" s="5" t="s">
        <v>11</v>
      </c>
      <c r="D101" s="5" t="s">
        <v>12</v>
      </c>
      <c r="E101" s="6">
        <v>50</v>
      </c>
      <c r="F101" s="6">
        <v>70</v>
      </c>
      <c r="G101" s="6">
        <v>71</v>
      </c>
      <c r="H101" s="6">
        <v>84</v>
      </c>
      <c r="I101" s="10">
        <v>2.5</v>
      </c>
      <c r="J101" s="5" t="str">
        <f t="shared" si="1"/>
        <v>Medium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5469-1F53-477C-8865-03EC03A17E02}">
  <dimension ref="A1:H53"/>
  <sheetViews>
    <sheetView tabSelected="1" topLeftCell="A47" zoomScale="74" workbookViewId="0">
      <selection activeCell="G46" sqref="G46"/>
    </sheetView>
  </sheetViews>
  <sheetFormatPr defaultRowHeight="14.4" x14ac:dyDescent="0.3"/>
  <cols>
    <col min="1" max="1" width="13.21875" customWidth="1"/>
    <col min="2" max="2" width="12.88671875" customWidth="1"/>
    <col min="3" max="3" width="13.88671875" customWidth="1"/>
    <col min="4" max="4" width="17.88671875" customWidth="1"/>
  </cols>
  <sheetData>
    <row r="1" spans="1:5" ht="18" x14ac:dyDescent="0.35">
      <c r="A1" s="2" t="s">
        <v>168</v>
      </c>
      <c r="B1" s="2"/>
      <c r="C1" s="2"/>
      <c r="D1" s="2"/>
    </row>
    <row r="2" spans="1:5" x14ac:dyDescent="0.3">
      <c r="A2" s="4" t="s">
        <v>169</v>
      </c>
      <c r="B2" s="4" t="s">
        <v>4</v>
      </c>
      <c r="C2" s="4" t="s">
        <v>5</v>
      </c>
      <c r="D2" s="4" t="s">
        <v>6</v>
      </c>
      <c r="E2" s="3"/>
    </row>
    <row r="3" spans="1:5" x14ac:dyDescent="0.3">
      <c r="A3" s="5" t="s">
        <v>170</v>
      </c>
      <c r="B3" s="14">
        <f>AVERAGE(Raw_Data!E2:E101)</f>
        <v>68.5</v>
      </c>
      <c r="C3" s="14">
        <f>AVERAGE(Raw_Data!F2:F101)</f>
        <v>70.510000000000005</v>
      </c>
      <c r="D3" s="14">
        <f>AVERAGE(Raw_Data!G2:G101)</f>
        <v>69.040000000000006</v>
      </c>
    </row>
    <row r="4" spans="1:5" x14ac:dyDescent="0.3">
      <c r="A4" s="5" t="s">
        <v>171</v>
      </c>
      <c r="B4" s="14">
        <f>MAX(Raw_Data!E2:E101)</f>
        <v>100</v>
      </c>
      <c r="C4" s="14">
        <f>MAX(Raw_Data!F2:F101)</f>
        <v>96</v>
      </c>
      <c r="D4" s="14">
        <f>MAX(Raw_Data!G2:G101)</f>
        <v>100</v>
      </c>
    </row>
    <row r="5" spans="1:5" x14ac:dyDescent="0.3">
      <c r="A5" s="5" t="s">
        <v>172</v>
      </c>
      <c r="B5" s="14">
        <f>MIN(Raw_Data!E2:E101)</f>
        <v>25</v>
      </c>
      <c r="C5" s="14">
        <f>MIN(Raw_Data!F2:F101)</f>
        <v>38</v>
      </c>
      <c r="D5" s="14">
        <f>MIN(Raw_Data!G2:G101)</f>
        <v>38</v>
      </c>
    </row>
    <row r="7" spans="1:5" x14ac:dyDescent="0.3">
      <c r="A7" s="12" t="s">
        <v>173</v>
      </c>
      <c r="B7" s="12"/>
    </row>
    <row r="8" spans="1:5" ht="28.8" x14ac:dyDescent="0.3">
      <c r="A8" s="15" t="s">
        <v>174</v>
      </c>
      <c r="B8" s="6">
        <f>AVERAGE(Raw_Data!H2:H101)</f>
        <v>81.53</v>
      </c>
    </row>
    <row r="9" spans="1:5" ht="28.8" x14ac:dyDescent="0.3">
      <c r="A9" s="15" t="s">
        <v>175</v>
      </c>
      <c r="B9" s="14">
        <f>AVERAGE(Raw_Data!I2:I101)</f>
        <v>2.6460000000000004</v>
      </c>
    </row>
    <row r="11" spans="1:5" x14ac:dyDescent="0.3">
      <c r="A11" s="12" t="s">
        <v>176</v>
      </c>
    </row>
    <row r="12" spans="1:5" x14ac:dyDescent="0.3">
      <c r="A12" s="5" t="s">
        <v>177</v>
      </c>
      <c r="B12" s="5"/>
      <c r="C12" s="5"/>
      <c r="D12" s="5"/>
    </row>
    <row r="13" spans="1:5" x14ac:dyDescent="0.3">
      <c r="A13" s="5" t="s">
        <v>178</v>
      </c>
      <c r="B13" s="5"/>
      <c r="C13" s="5"/>
      <c r="D13" s="5"/>
    </row>
    <row r="14" spans="1:5" x14ac:dyDescent="0.3">
      <c r="A14" s="5" t="s">
        <v>179</v>
      </c>
      <c r="B14" s="5"/>
      <c r="C14" s="5"/>
      <c r="D14" s="5"/>
    </row>
    <row r="16" spans="1:5" x14ac:dyDescent="0.3">
      <c r="A16" s="12" t="s">
        <v>180</v>
      </c>
      <c r="B16" s="12"/>
    </row>
    <row r="17" spans="1:7" x14ac:dyDescent="0.3">
      <c r="A17" s="5" t="s">
        <v>181</v>
      </c>
      <c r="B17" s="5">
        <f>CORREL(Raw_Data!H2:H101,Raw_Data!E2:E101)</f>
        <v>-1.1455418553154776E-2</v>
      </c>
      <c r="C17" s="5"/>
      <c r="D17" s="5"/>
      <c r="E17" s="5"/>
      <c r="F17" s="5"/>
      <c r="G17" s="5"/>
    </row>
    <row r="18" spans="1:7" x14ac:dyDescent="0.3">
      <c r="A18" s="5" t="s">
        <v>182</v>
      </c>
      <c r="B18" s="5" t="s">
        <v>183</v>
      </c>
      <c r="C18" s="5"/>
      <c r="D18" s="5"/>
      <c r="E18" s="5"/>
      <c r="F18" s="5"/>
      <c r="G18" s="5"/>
    </row>
    <row r="20" spans="1:7" x14ac:dyDescent="0.3">
      <c r="A20" s="12" t="s">
        <v>184</v>
      </c>
      <c r="B20" s="12"/>
    </row>
    <row r="21" spans="1:7" x14ac:dyDescent="0.3">
      <c r="A21" s="5" t="s">
        <v>185</v>
      </c>
      <c r="B21" s="5">
        <f>CORREL(Raw_Data!I2:I101,Raw_Data!E2:E101)</f>
        <v>0.35542424889718693</v>
      </c>
      <c r="C21" s="5"/>
      <c r="D21" s="5"/>
      <c r="E21" s="5"/>
      <c r="F21" s="5"/>
    </row>
    <row r="22" spans="1:7" x14ac:dyDescent="0.3">
      <c r="A22" s="5" t="s">
        <v>182</v>
      </c>
      <c r="B22" s="5" t="s">
        <v>186</v>
      </c>
      <c r="C22" s="5"/>
      <c r="D22" s="5"/>
      <c r="E22" s="5"/>
      <c r="F22" s="5"/>
    </row>
    <row r="24" spans="1:7" x14ac:dyDescent="0.3">
      <c r="A24" s="13" t="s">
        <v>188</v>
      </c>
      <c r="B24" s="13"/>
    </row>
    <row r="25" spans="1:7" x14ac:dyDescent="0.3">
      <c r="A25" s="13" t="s">
        <v>155</v>
      </c>
      <c r="B25" s="13" t="s">
        <v>189</v>
      </c>
    </row>
    <row r="26" spans="1:7" x14ac:dyDescent="0.3">
      <c r="A26" s="5" t="s">
        <v>190</v>
      </c>
      <c r="B26" s="5">
        <f>COUNTIF(Raw_Data!J2:J101,"High")</f>
        <v>34</v>
      </c>
    </row>
    <row r="27" spans="1:7" x14ac:dyDescent="0.3">
      <c r="A27" s="5" t="s">
        <v>191</v>
      </c>
      <c r="B27" s="5">
        <f>COUNTIF(Raw_Data!J2:J101,"Medium")</f>
        <v>59</v>
      </c>
    </row>
    <row r="28" spans="1:7" x14ac:dyDescent="0.3">
      <c r="A28" s="5" t="s">
        <v>192</v>
      </c>
      <c r="B28" s="5">
        <f>COUNTIF(Raw_Data!J2:J101,"Low")</f>
        <v>7</v>
      </c>
    </row>
    <row r="30" spans="1:7" x14ac:dyDescent="0.3">
      <c r="A30" s="12" t="s">
        <v>193</v>
      </c>
    </row>
    <row r="31" spans="1:7" x14ac:dyDescent="0.3">
      <c r="A31" s="5" t="s">
        <v>194</v>
      </c>
      <c r="B31" s="5"/>
      <c r="C31" s="5"/>
      <c r="D31" s="5"/>
    </row>
    <row r="32" spans="1:7" x14ac:dyDescent="0.3">
      <c r="A32" s="5" t="s">
        <v>195</v>
      </c>
      <c r="B32" s="5"/>
      <c r="C32" s="5"/>
      <c r="D32" s="5"/>
    </row>
    <row r="33" spans="1:4" x14ac:dyDescent="0.3">
      <c r="A33" s="5" t="s">
        <v>196</v>
      </c>
      <c r="B33" s="5"/>
      <c r="C33" s="5"/>
      <c r="D33" s="5"/>
    </row>
    <row r="34" spans="1:4" x14ac:dyDescent="0.3">
      <c r="A34" s="5" t="s">
        <v>197</v>
      </c>
      <c r="B34" s="5"/>
      <c r="C34" s="5"/>
      <c r="D34" s="5"/>
    </row>
    <row r="35" spans="1:4" x14ac:dyDescent="0.3">
      <c r="A35" s="5" t="s">
        <v>198</v>
      </c>
      <c r="B35" s="5"/>
      <c r="C35" s="5"/>
      <c r="D35" s="5"/>
    </row>
    <row r="36" spans="1:4" x14ac:dyDescent="0.3">
      <c r="A36" s="5" t="s">
        <v>199</v>
      </c>
      <c r="B36" s="5"/>
      <c r="C36" s="5"/>
      <c r="D36" s="5"/>
    </row>
    <row r="37" spans="1:4" x14ac:dyDescent="0.3">
      <c r="A37" s="5" t="s">
        <v>200</v>
      </c>
      <c r="B37" s="5"/>
      <c r="C37" s="5"/>
      <c r="D37" s="5"/>
    </row>
    <row r="39" spans="1:4" x14ac:dyDescent="0.3">
      <c r="A39" s="16" t="s">
        <v>201</v>
      </c>
      <c r="B39" s="16"/>
    </row>
    <row r="40" spans="1:4" ht="57.6" x14ac:dyDescent="0.3">
      <c r="A40" s="15" t="s">
        <v>202</v>
      </c>
      <c r="B40" s="15" t="s">
        <v>205</v>
      </c>
      <c r="C40" s="7"/>
    </row>
    <row r="41" spans="1:4" ht="72" x14ac:dyDescent="0.3">
      <c r="A41" s="15" t="s">
        <v>203</v>
      </c>
      <c r="B41" s="15" t="s">
        <v>206</v>
      </c>
      <c r="C41" s="7"/>
    </row>
    <row r="42" spans="1:4" ht="86.4" x14ac:dyDescent="0.3">
      <c r="A42" s="15" t="s">
        <v>204</v>
      </c>
      <c r="B42" s="15" t="s">
        <v>207</v>
      </c>
      <c r="C42" s="7"/>
    </row>
    <row r="43" spans="1:4" ht="86.4" x14ac:dyDescent="0.3">
      <c r="A43" s="15" t="s">
        <v>208</v>
      </c>
      <c r="B43" s="15" t="s">
        <v>209</v>
      </c>
    </row>
    <row r="45" spans="1:4" x14ac:dyDescent="0.3">
      <c r="A45" s="17" t="s">
        <v>210</v>
      </c>
      <c r="B45" s="11"/>
    </row>
    <row r="46" spans="1:4" ht="100.8" x14ac:dyDescent="0.3">
      <c r="A46" s="18" t="s">
        <v>211</v>
      </c>
      <c r="B46" s="18" t="s">
        <v>212</v>
      </c>
    </row>
    <row r="47" spans="1:4" ht="100.8" x14ac:dyDescent="0.3">
      <c r="A47" s="18" t="s">
        <v>213</v>
      </c>
      <c r="B47" s="18" t="s">
        <v>214</v>
      </c>
    </row>
    <row r="48" spans="1:4" x14ac:dyDescent="0.3">
      <c r="A48" s="18" t="s">
        <v>215</v>
      </c>
      <c r="B48" s="18">
        <f>0.355424249*SQRT((100-2)/(1-0.355424249^2))</f>
        <v>3.7643108987998444</v>
      </c>
    </row>
    <row r="49" spans="1:8" ht="28.8" x14ac:dyDescent="0.3">
      <c r="A49" s="18" t="s">
        <v>216</v>
      </c>
      <c r="B49" s="5">
        <f>_xlfn.T.DIST.2T(ABS(B48),98)</f>
        <v>2.8474707152125345E-4</v>
      </c>
    </row>
    <row r="50" spans="1:8" ht="115.2" x14ac:dyDescent="0.3">
      <c r="A50" s="18" t="s">
        <v>217</v>
      </c>
      <c r="B50" s="15" t="s">
        <v>218</v>
      </c>
      <c r="C50" s="7"/>
      <c r="D50" s="7"/>
      <c r="E50" s="7"/>
      <c r="F50" s="7"/>
      <c r="G50" s="7"/>
      <c r="H50" s="7"/>
    </row>
    <row r="52" spans="1:8" x14ac:dyDescent="0.3">
      <c r="A52" s="17" t="s">
        <v>219</v>
      </c>
      <c r="B52" s="11"/>
    </row>
    <row r="53" spans="1:8" ht="172.8" x14ac:dyDescent="0.3">
      <c r="A53" s="18" t="s">
        <v>220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9" customWidth="1"/>
    <col min="3" max="3" width="14" customWidth="1"/>
    <col min="4" max="4" width="40" customWidth="1"/>
  </cols>
  <sheetData>
    <row r="1" spans="1:4" ht="31.95" customHeight="1" x14ac:dyDescent="0.3">
      <c r="A1" s="1" t="s">
        <v>145</v>
      </c>
      <c r="B1" s="1" t="s">
        <v>146</v>
      </c>
      <c r="C1" s="1" t="s">
        <v>147</v>
      </c>
      <c r="D1" s="1" t="s">
        <v>148</v>
      </c>
    </row>
    <row r="2" spans="1:4" x14ac:dyDescent="0.3">
      <c r="A2" t="s">
        <v>0</v>
      </c>
      <c r="B2" t="s">
        <v>149</v>
      </c>
      <c r="C2" t="s">
        <v>150</v>
      </c>
      <c r="D2" t="s">
        <v>151</v>
      </c>
    </row>
    <row r="3" spans="1:4" x14ac:dyDescent="0.3">
      <c r="A3" t="s">
        <v>1</v>
      </c>
      <c r="B3" t="s">
        <v>152</v>
      </c>
      <c r="C3" t="s">
        <v>150</v>
      </c>
      <c r="D3" t="s">
        <v>153</v>
      </c>
    </row>
    <row r="4" spans="1:4" x14ac:dyDescent="0.3">
      <c r="A4" t="s">
        <v>2</v>
      </c>
      <c r="B4" t="s">
        <v>154</v>
      </c>
      <c r="C4" t="s">
        <v>155</v>
      </c>
      <c r="D4" t="s">
        <v>156</v>
      </c>
    </row>
    <row r="5" spans="1:4" x14ac:dyDescent="0.3">
      <c r="A5" t="s">
        <v>3</v>
      </c>
      <c r="B5" t="s">
        <v>157</v>
      </c>
      <c r="C5" t="s">
        <v>155</v>
      </c>
      <c r="D5" t="s">
        <v>158</v>
      </c>
    </row>
    <row r="6" spans="1:4" x14ac:dyDescent="0.3">
      <c r="A6" t="s">
        <v>4</v>
      </c>
      <c r="B6" t="s">
        <v>159</v>
      </c>
      <c r="C6" t="s">
        <v>160</v>
      </c>
      <c r="D6" t="s">
        <v>161</v>
      </c>
    </row>
    <row r="7" spans="1:4" x14ac:dyDescent="0.3">
      <c r="A7" t="s">
        <v>5</v>
      </c>
      <c r="B7" t="s">
        <v>162</v>
      </c>
      <c r="C7" t="s">
        <v>160</v>
      </c>
      <c r="D7" t="s">
        <v>161</v>
      </c>
    </row>
    <row r="8" spans="1:4" x14ac:dyDescent="0.3">
      <c r="A8" t="s">
        <v>6</v>
      </c>
      <c r="B8" t="s">
        <v>163</v>
      </c>
      <c r="C8" t="s">
        <v>160</v>
      </c>
      <c r="D8" t="s">
        <v>161</v>
      </c>
    </row>
    <row r="9" spans="1:4" x14ac:dyDescent="0.3">
      <c r="A9" t="s">
        <v>7</v>
      </c>
      <c r="B9" t="s">
        <v>164</v>
      </c>
      <c r="C9" t="s">
        <v>160</v>
      </c>
      <c r="D9" t="s">
        <v>165</v>
      </c>
    </row>
    <row r="10" spans="1:4" x14ac:dyDescent="0.3">
      <c r="A10" t="s">
        <v>8</v>
      </c>
      <c r="B10" t="s">
        <v>166</v>
      </c>
      <c r="C10" t="s">
        <v>160</v>
      </c>
      <c r="D10" t="s">
        <v>167</v>
      </c>
    </row>
  </sheetData>
  <autoFilter ref="A1:D1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yadav</cp:lastModifiedBy>
  <dcterms:created xsi:type="dcterms:W3CDTF">2026-10-16T14:47:23Z</dcterms:created>
  <dcterms:modified xsi:type="dcterms:W3CDTF">2026-10-17T15:44:30Z</dcterms:modified>
</cp:coreProperties>
</file>